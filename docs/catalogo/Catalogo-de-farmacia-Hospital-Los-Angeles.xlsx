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atálogo" sheetId="2" state="visible" r:id="rId4"/>
    <sheet name="Ejemplos" sheetId="3" state="visible" r:id="rId5"/>
    <sheet name="Listas" sheetId="4" state="visible" r:id="rId6"/>
  </sheets>
  <definedNames>
    <definedName function="false" hidden="true" localSheetId="1" name="_xlnm._FilterDatabase" vbProcedure="false">Catálogo!$A$2:$P$402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<sst xmlns="http://schemas.openxmlformats.org/spreadsheetml/2006/main" count="473" uniqueCount="227">
  <si>
    <t xml:space="preserve">CATÁLOGO DE FARMACIA</t>
  </si>
  <si>
    <t xml:space="preserve">Hospital Los Ángeles · plantilla de registro de productos · instructivo IC-FAR-01</t>
  </si>
  <si>
    <t xml:space="preserve">Objeto</t>
  </si>
  <si>
    <t xml:space="preserve">Completar la hoja «Catálogo» con la totalidad de las existencias de farmacia y devolver el archivo. La importación al sistema la efectúa Olympo; no se requiere carga manual.</t>
  </si>
  <si>
    <t xml:space="preserve">Un registro por PRESENTACIÓN</t>
  </si>
  <si>
    <t xml:space="preserve">No uno por producto. El acetaminofén de 500 mg adquirido en caja de 100, en caja de 80 y en blíster de 10 constituye TRES registros, con la denominación idéntica en los tres y distinta unidad de envase o contenido. El sistema los agrupa bajo un mismo producto.</t>
  </si>
  <si>
    <t xml:space="preserve">Unidad de dispensación y unidad de envase</t>
  </si>
  <si>
    <t xml:space="preserve">«Se dispensa en» es la unidad MÍNIMA en que el producto se entrega al paciente —TABLETA, MILILITRO, AMPOLLA—. «Unidad del envase» es la presentación en que lo suministra el proveedor —CAJA, FRASCO, BLÍSTER—. El inventario se lleva siempre en la primera.</t>
  </si>
  <si>
    <t xml:space="preserve">El tamaño del envase no integra el nombre</t>
  </si>
  <si>
    <t xml:space="preserve">«ACETAMINOFÉN JARABE» es la denominación. Los frascos de 60 ml y de 120 ml son dos presentaciones del MISMO producto. Incorporarlos al nombre divide la existencia en dos registros y ninguno concuerda con el conteo físico.</t>
  </si>
  <si>
    <t xml:space="preserve">El costo corresponde al ENVASE COMPLETO</t>
  </si>
  <si>
    <t xml:space="preserve">Costo de la caja o del frasco completo, sin ISV, según factura del proveedor. El sistema divide por el contenido y determina el precio de venta conforme al margen establecido. La columna gris «Costo por unidad» muestra esa división y permite verificarla.</t>
  </si>
  <si>
    <t xml:space="preserve">Código de barras: opcional</t>
  </si>
  <si>
    <t xml:space="preserve">Consignar el del envase cuando resulte legible. De no tenerlo, o si el producto se reenvasa, déjese VACÍO: el sistema genera uno propio y lo imprime en la etiqueta.</t>
  </si>
  <si>
    <t xml:space="preserve">Casos no previstos</t>
  </si>
  <si>
    <t xml:space="preserve">No debe crearse una categoría ni una unidad nuevas: consígnese OTROS INSUMOS y detállese en «Notas». Se resuelve durante la importación. Un registro con una unidad que el sistema no reconoce no puede cargarse.</t>
  </si>
  <si>
    <t xml:space="preserve">Hojas del archivo</t>
  </si>
  <si>
    <t xml:space="preserve">«Catálogo» es la hoja de llenado. «Ejemplos» reúne 30 casos de referencia: uno por cada unidad de dispensación y por cada unidad de envase. «Listas» contiene los valores admitidos y no debe borrarse ni modificarse.</t>
  </si>
  <si>
    <t xml:space="preserve">Documentación de apoyo</t>
  </si>
  <si>
    <t xml:space="preserve">El instructivo IC-FAR-01, que acompaña a este archivo, desarrolla el criterio caso por caso, con la totalidad de las categorías y de las formas de dispensación.</t>
  </si>
  <si>
    <t xml:space="preserve">UN REGISTRO POR CADA PRESENTACIÓN.   Columnas ÁMBAR: obligatorias.   Columnas GRISES: se calculan solas; no deben modificarse.   Columnas BLANCAS: opcionales; preferible vacías antes que supuestas.   Un producto con varias presentaciones lleva un registro por cada una, con la denominación idéntica.</t>
  </si>
  <si>
    <t xml:space="preserve">Nombre del producto</t>
  </si>
  <si>
    <t xml:space="preserve">Tipo</t>
  </si>
  <si>
    <t xml:space="preserve">Categoría</t>
  </si>
  <si>
    <t xml:space="preserve">Se dispensa en</t>
  </si>
  <si>
    <t xml:space="preserve">Unidad del envase</t>
  </si>
  <si>
    <t xml:space="preserve">Cuánto trae el envase</t>
  </si>
  <si>
    <t xml:space="preserve">Costo del envase, sin ISV (L)</t>
  </si>
  <si>
    <t xml:space="preserve">Así va a quedar el nombre</t>
  </si>
  <si>
    <t xml:space="preserve">Costo por unidad (L)</t>
  </si>
  <si>
    <t xml:space="preserve">Código de barras</t>
  </si>
  <si>
    <t xml:space="preserve">Principio activo</t>
  </si>
  <si>
    <t xml:space="preserve">Registro sanitario ARSA</t>
  </si>
  <si>
    <t xml:space="preserve">Código ATC</t>
  </si>
  <si>
    <t xml:space="preserve">¿Exige receta?</t>
  </si>
  <si>
    <t xml:space="preserve">¿Es controlado?</t>
  </si>
  <si>
    <t xml:space="preserve">Notas</t>
  </si>
  <si>
    <t xml:space="preserve">ACETAMINOFÉN 500 MG TABLETA</t>
  </si>
  <si>
    <t xml:space="preserve">Medicamento</t>
  </si>
  <si>
    <t xml:space="preserve">MEDICAMENTOS</t>
  </si>
  <si>
    <t xml:space="preserve">TABLETA</t>
  </si>
  <si>
    <t xml:space="preserve">CAJA</t>
  </si>
  <si>
    <t xml:space="preserve">7501234567890</t>
  </si>
  <si>
    <t xml:space="preserve">ACETAMINOFÉN</t>
  </si>
  <si>
    <t xml:space="preserve">ARSA-12345</t>
  </si>
  <si>
    <t xml:space="preserve">N02BE01</t>
  </si>
  <si>
    <t xml:space="preserve">NO</t>
  </si>
  <si>
    <t xml:space="preserve">Caso más frecuente: se adquiere por caja y se dispensa por tableta.</t>
  </si>
  <si>
    <t xml:space="preserve">30 CASOS DE REFERENCIA: uno por cada unidad de dispensación y por cada unidad de envase que el sistema admite. No se importan; sirven de criterio. Obsérvese en particular «Se dispensa en» frente a «Unidad del envase».</t>
  </si>
  <si>
    <t xml:space="preserve">Mismo producto en caja de otro tamaño: denominación idéntica; varía el contenido.</t>
  </si>
  <si>
    <t xml:space="preserve">BLÍSTER</t>
  </si>
  <si>
    <t xml:space="preserve">El mismo producto en BLÍSTER. Tres registros, un solo producto.</t>
  </si>
  <si>
    <t xml:space="preserve">OMEPRAZOL 20 MG CÁPSULA</t>
  </si>
  <si>
    <t xml:space="preserve">CÁPSULA</t>
  </si>
  <si>
    <t xml:space="preserve">OMEPRAZOL</t>
  </si>
  <si>
    <t xml:space="preserve">ARSA-15220</t>
  </si>
  <si>
    <t xml:space="preserve">A02BC01</t>
  </si>
  <si>
    <t xml:space="preserve">SÍ</t>
  </si>
  <si>
    <t xml:space="preserve">CÁPSULA: mismo criterio que la tableta.</t>
  </si>
  <si>
    <t xml:space="preserve">LEVONORGESTREL 0.15 MG / ETINILESTRADIOL 0.03 MG</t>
  </si>
  <si>
    <t xml:space="preserve">LEVONORGESTREL, ETINILESTRADIOL</t>
  </si>
  <si>
    <t xml:space="preserve">ARSA-26410</t>
  </si>
  <si>
    <t xml:space="preserve">G03AA07</t>
  </si>
  <si>
    <t xml:space="preserve">BLÍSTER como unidad de dispensación: el ciclo se entrega completo, nunca por tableta.</t>
  </si>
  <si>
    <t xml:space="preserve">ACETAMINOFÉN JARABE 120 MG/5 ML</t>
  </si>
  <si>
    <t xml:space="preserve">MILILITRO</t>
  </si>
  <si>
    <t xml:space="preserve">FRASCO</t>
  </si>
  <si>
    <t xml:space="preserve">ARSA-12346</t>
  </si>
  <si>
    <t xml:space="preserve">MILILITRO en envase FRASCO: la dosis se mide en ml.</t>
  </si>
  <si>
    <t xml:space="preserve">LIDOCAÍNA 2% SOLUCIÓN INYECTABLE</t>
  </si>
  <si>
    <t xml:space="preserve">CENTÍMETRO CÚBICO</t>
  </si>
  <si>
    <t xml:space="preserve">LIDOCAÍNA</t>
  </si>
  <si>
    <t xml:space="preserve">ARSA-18033</t>
  </si>
  <si>
    <t xml:space="preserve">N01BB02</t>
  </si>
  <si>
    <t xml:space="preserve">CENTÍMETRO CÚBICO: equivale al mililitro; se usa el que indica la etiqueta.</t>
  </si>
  <si>
    <t xml:space="preserve">AGUA ESTÉRIL PARA INYECCIÓN 10 ML</t>
  </si>
  <si>
    <t xml:space="preserve">SOLUCIONES Y SUEROS</t>
  </si>
  <si>
    <t xml:space="preserve">AMPOLLA</t>
  </si>
  <si>
    <t xml:space="preserve">ARSA-40012</t>
  </si>
  <si>
    <t xml:space="preserve">Envase AMPOLLA adquirida suelta, no por caja.</t>
  </si>
  <si>
    <t xml:space="preserve">AGUA OXIGENADA 3% A GRANEL</t>
  </si>
  <si>
    <t xml:space="preserve">Insumo o material</t>
  </si>
  <si>
    <t xml:space="preserve">OTROS INSUMOS</t>
  </si>
  <si>
    <t xml:space="preserve">LITRO</t>
  </si>
  <si>
    <t xml:space="preserve">Envase LITRO: líquido adquirido a granel y fraccionado por mililitro.</t>
  </si>
  <si>
    <t xml:space="preserve">HIPOCLORITO DE SODIO 5%</t>
  </si>
  <si>
    <t xml:space="preserve">LITRO como unidad de dispensación: la caja contiene doce envases de un litro.</t>
  </si>
  <si>
    <t xml:space="preserve">DIAZEPAM 10 MG / 2 ML SOLUCIÓN INYECTABLE</t>
  </si>
  <si>
    <t xml:space="preserve">DIAZEPAM</t>
  </si>
  <si>
    <t xml:space="preserve">ARSA-22101</t>
  </si>
  <si>
    <t xml:space="preserve">N05BA01</t>
  </si>
  <si>
    <t xml:space="preserve">AMPOLLA: se dispensa íntegra. Producto controlado.</t>
  </si>
  <si>
    <t xml:space="preserve">CEFTRIAXONA 1 G POLVO PARA INYECCIÓN</t>
  </si>
  <si>
    <t xml:space="preserve">VIAL</t>
  </si>
  <si>
    <t xml:space="preserve">CEFTRIAXONA</t>
  </si>
  <si>
    <t xml:space="preserve">ARSA-33018</t>
  </si>
  <si>
    <t xml:space="preserve">J01DD04</t>
  </si>
  <si>
    <t xml:space="preserve">VIAL: se reconstituye y se emplea completo, no se fracciona en ml.</t>
  </si>
  <si>
    <t xml:space="preserve">INSULINA NPH 100 UI/ML 10 ML</t>
  </si>
  <si>
    <t xml:space="preserve">UNIDAD INTERNACIONAL</t>
  </si>
  <si>
    <t xml:space="preserve">INSULINA HUMANA</t>
  </si>
  <si>
    <t xml:space="preserve">ARSA-27740</t>
  </si>
  <si>
    <t xml:space="preserve">A10AC01</t>
  </si>
  <si>
    <t xml:space="preserve">UNIDAD INTERNACIONAL en envase VIAL suelto: 10 ml a 100 UI/ml son 1000 UI.</t>
  </si>
  <si>
    <t xml:space="preserve">SOLUCIÓN SALINA 0.9% 1000 ML</t>
  </si>
  <si>
    <t xml:space="preserve">BOLSA</t>
  </si>
  <si>
    <t xml:space="preserve">CLORURO DE SODIO</t>
  </si>
  <si>
    <t xml:space="preserve">ARSA-40077</t>
  </si>
  <si>
    <t xml:space="preserve">B05CB01</t>
  </si>
  <si>
    <t xml:space="preserve">BOLSA: se administra completa; la unidad es la bolsa, no los ml.</t>
  </si>
  <si>
    <t xml:space="preserve">SALES DE REHIDRATACIÓN ORAL</t>
  </si>
  <si>
    <t xml:space="preserve">SOBRE</t>
  </si>
  <si>
    <t xml:space="preserve">ARSA-31005</t>
  </si>
  <si>
    <t xml:space="preserve">A07CA</t>
  </si>
  <si>
    <t xml:space="preserve">SOBRE como unidad de dispensación.</t>
  </si>
  <si>
    <t xml:space="preserve">CARBÓN ACTIVADO POLVO 50 G</t>
  </si>
  <si>
    <t xml:space="preserve">CARBÓN ACTIVADO</t>
  </si>
  <si>
    <t xml:space="preserve">A07BA01</t>
  </si>
  <si>
    <t xml:space="preserve">Envase SOBRE adquirido suelto: el envase constituye la unidad.</t>
  </si>
  <si>
    <t xml:space="preserve">SULFADIAZINA DE PLATA CREMA 1%</t>
  </si>
  <si>
    <t xml:space="preserve">GRAMO</t>
  </si>
  <si>
    <t xml:space="preserve">SULFADIAZINA DE PLATA</t>
  </si>
  <si>
    <t xml:space="preserve">ARSA-19660</t>
  </si>
  <si>
    <t xml:space="preserve">D06BA01</t>
  </si>
  <si>
    <t xml:space="preserve">GRAMO: la crema se dosifica por peso.</t>
  </si>
  <si>
    <t xml:space="preserve">PROGESTERONA MICRONIZADA POLVO</t>
  </si>
  <si>
    <t xml:space="preserve">MILIGRAMO</t>
  </si>
  <si>
    <t xml:space="preserve">PROGESTERONA</t>
  </si>
  <si>
    <t xml:space="preserve">ARSA-29014</t>
  </si>
  <si>
    <t xml:space="preserve">G03DA04</t>
  </si>
  <si>
    <t xml:space="preserve">MILIGRAMO: solo si farmacia prepara fórmulas magistrales y pesa el insumo.</t>
  </si>
  <si>
    <t xml:space="preserve">LEVOTIROXINA SÓDICA POLVO</t>
  </si>
  <si>
    <t xml:space="preserve">MICROGRAMO</t>
  </si>
  <si>
    <t xml:space="preserve">LEVOTIROXINA</t>
  </si>
  <si>
    <t xml:space="preserve">ARSA-29018</t>
  </si>
  <si>
    <t xml:space="preserve">H03AA01</t>
  </si>
  <si>
    <t xml:space="preserve">MICROGRAMO: mismo caso que el anterior. De uso excepcional.</t>
  </si>
  <si>
    <t xml:space="preserve">GASA ESTÉRIL 10 X 10 CM</t>
  </si>
  <si>
    <t xml:space="preserve">MATERIAL DE CURACION</t>
  </si>
  <si>
    <t xml:space="preserve">UNIDAD</t>
  </si>
  <si>
    <t xml:space="preserve">UNIDAD: no corresponde principio activo ni código ATC.</t>
  </si>
  <si>
    <t xml:space="preserve">SONDA FOLEY N.º 16</t>
  </si>
  <si>
    <t xml:space="preserve">DESCARTABLES</t>
  </si>
  <si>
    <t xml:space="preserve">Envase UNIDAD: se adquiere de a una, sin empaque colectivo.</t>
  </si>
  <si>
    <t xml:space="preserve">VENDA ELÁSTICA 4 PULGADAS</t>
  </si>
  <si>
    <t xml:space="preserve">Envase BOLSA: contiene doce vendas, cada una es una unidad.</t>
  </si>
  <si>
    <t xml:space="preserve">JERINGA DESCARTABLE 5 ML CON AGUJA</t>
  </si>
  <si>
    <t xml:space="preserve">Descartable: cada jeringa constituye una unidad.</t>
  </si>
  <si>
    <t xml:space="preserve">GUANTE DE EXAMEN LÁTEX TALLA M</t>
  </si>
  <si>
    <t xml:space="preserve">PAR</t>
  </si>
  <si>
    <t xml:space="preserve">PAR: la caja contiene 50 pares, no 100 guantes.</t>
  </si>
  <si>
    <t xml:space="preserve">GUANTE QUIRÚRGICO ESTÉRIL TALLA 7.5</t>
  </si>
  <si>
    <t xml:space="preserve">Envase PAR: se adquiere por par estéril individual.</t>
  </si>
  <si>
    <t xml:space="preserve">EQUIPO DE VENOCLISIS MACROGOTERO</t>
  </si>
  <si>
    <t xml:space="preserve">KIT</t>
  </si>
  <si>
    <t xml:space="preserve">KIT en envase KIT: conjunto que no se fracciona.</t>
  </si>
  <si>
    <t xml:space="preserve">VENDA DE GASA EN ROLLO 10 CM X 5 M</t>
  </si>
  <si>
    <t xml:space="preserve">CENTÍMETRO</t>
  </si>
  <si>
    <t xml:space="preserve">CENTÍMETRO: el rollo de 5 m equivale a 500 cm y se corta a medida.</t>
  </si>
  <si>
    <t xml:space="preserve">TUBULADURA DE SILICONA GRADO MÉDICO</t>
  </si>
  <si>
    <t xml:space="preserve">METRO</t>
  </si>
  <si>
    <t xml:space="preserve">METRO: el rollo de 25 m se corta según necesidad.</t>
  </si>
  <si>
    <t xml:space="preserve">ALCOHOL ETÍLICO 70% 1 LITRO</t>
  </si>
  <si>
    <t xml:space="preserve">FRASCO en envase FRASCO con contenido 1: la denominación omite el factor.</t>
  </si>
  <si>
    <t xml:space="preserve">TIRAS REACTIVAS DE GLUCOMETRÍA X 50</t>
  </si>
  <si>
    <t xml:space="preserve">CAJA como unidad de dispensación: excepcional; solo si nunca se abre.</t>
  </si>
  <si>
    <t xml:space="preserve">VALORES QUE EL SISTEMA ACEPTA</t>
  </si>
  <si>
    <t xml:space="preserve">Esta hoja alimenta los desplegables de la hoja «Catálogo». No debe borrarse ni modificarse: un valor que el sistema no reconozca impide importar el registro.</t>
  </si>
  <si>
    <t xml:space="preserve">TIPO</t>
  </si>
  <si>
    <t xml:space="preserve">Qué entra acá</t>
  </si>
  <si>
    <t xml:space="preserve">CATEGORÍA</t>
  </si>
  <si>
    <t xml:space="preserve">Código</t>
  </si>
  <si>
    <t xml:space="preserve">Mide</t>
  </si>
  <si>
    <t xml:space="preserve">Cuándo se usa</t>
  </si>
  <si>
    <t xml:space="preserve">SÍ / NO</t>
  </si>
  <si>
    <t xml:space="preserve">Productos farmacéuticos que se prescriben: tabletas, jarabes, ampollas, inyectables.</t>
  </si>
  <si>
    <t xml:space="preserve">MED</t>
  </si>
  <si>
    <t xml:space="preserve">Fármacos en cualquier forma farmacéutica.</t>
  </si>
  <si>
    <t xml:space="preserve">UND</t>
  </si>
  <si>
    <t xml:space="preserve">Conteo</t>
  </si>
  <si>
    <t xml:space="preserve">Lo que se cuenta de a uno y no tiene forma propia.</t>
  </si>
  <si>
    <t xml:space="preserve">Material empleado en la atención: gasas, jeringas, sondas, guantes, tubos.</t>
  </si>
  <si>
    <t xml:space="preserve">MTC</t>
  </si>
  <si>
    <t xml:space="preserve">Gasas, vendas, apósitos, suturas, antisépticos.</t>
  </si>
  <si>
    <t xml:space="preserve">TAB</t>
  </si>
  <si>
    <t xml:space="preserve">La tableta suelta.</t>
  </si>
  <si>
    <t xml:space="preserve">Otro</t>
  </si>
  <si>
    <t xml:space="preserve">Lo que no corresponde a las dos categorías anteriores y aun así se almacena y se factura.</t>
  </si>
  <si>
    <t xml:space="preserve">DES</t>
  </si>
  <si>
    <t xml:space="preserve">Jeringas, guantes, mascarillas, sondas, catéteres.</t>
  </si>
  <si>
    <t xml:space="preserve">CAP</t>
  </si>
  <si>
    <t xml:space="preserve">La cápsula suelta.</t>
  </si>
  <si>
    <t xml:space="preserve">SOL</t>
  </si>
  <si>
    <t xml:space="preserve">Suero fisiológico, dextrosa, Hartmann, agua estéril.</t>
  </si>
  <si>
    <t xml:space="preserve">AMP</t>
  </si>
  <si>
    <t xml:space="preserve">La ampolla de vidrio, entera.</t>
  </si>
  <si>
    <t xml:space="preserve">INS</t>
  </si>
  <si>
    <t xml:space="preserve">Productos que no corresponden a ninguna de las categorías anteriores.</t>
  </si>
  <si>
    <t xml:space="preserve">El frasco-ampolla de inyectable.</t>
  </si>
  <si>
    <t xml:space="preserve">El frasco entero, cuando no se fracciona.</t>
  </si>
  <si>
    <t xml:space="preserve">El sobre de polvo o granulado.</t>
  </si>
  <si>
    <t xml:space="preserve">La caja del proveedor. Casi siempre va como ENVASE, no como dispensación.</t>
  </si>
  <si>
    <t xml:space="preserve">BLISTER</t>
  </si>
  <si>
    <t xml:space="preserve">La tira de tabletas o cápsulas.</t>
  </si>
  <si>
    <t xml:space="preserve">Lo que sale de a dos: guantes, medias.</t>
  </si>
  <si>
    <t xml:space="preserve">El set completo que no se abre por partes.</t>
  </si>
  <si>
    <t xml:space="preserve">La bolsa de solución o de material.</t>
  </si>
  <si>
    <t xml:space="preserve">ML</t>
  </si>
  <si>
    <t xml:space="preserve">Volumen</t>
  </si>
  <si>
    <t xml:space="preserve">Para líquidos que se dan por dosis: jarabes, gotas, inyectables.</t>
  </si>
  <si>
    <t xml:space="preserve">CC</t>
  </si>
  <si>
    <t xml:space="preserve">Lo mismo que el mililitro. Usá el que diga la etiqueta.</t>
  </si>
  <si>
    <t xml:space="preserve">L</t>
  </si>
  <si>
    <t xml:space="preserve">Para líquidos a granel.</t>
  </si>
  <si>
    <t xml:space="preserve">MG</t>
  </si>
  <si>
    <t xml:space="preserve">Masa</t>
  </si>
  <si>
    <t xml:space="preserve">Para polvos y cremas que se pesan.</t>
  </si>
  <si>
    <t xml:space="preserve">G</t>
  </si>
  <si>
    <t xml:space="preserve">Para polvos, cremas y pomadas.</t>
  </si>
  <si>
    <t xml:space="preserve">MCG</t>
  </si>
  <si>
    <t xml:space="preserve">Para principios muy potentes.</t>
  </si>
  <si>
    <t xml:space="preserve">UI</t>
  </si>
  <si>
    <t xml:space="preserve">Potencia de fármaco: insulina, heparina, vitaminas.</t>
  </si>
  <si>
    <t xml:space="preserve">CM</t>
  </si>
  <si>
    <t xml:space="preserve">Longitud</t>
  </si>
  <si>
    <t xml:space="preserve">Para lo que se corta: vendas, gasa en rollo, hilo.</t>
  </si>
  <si>
    <t xml:space="preserve">Lo mismo, cuando se mide en metros.</t>
  </si>
</sst>
</file>

<file path=xl/styles.xml><?xml version="1.0" encoding="utf-8"?>
<styleSheet xmlns="http://schemas.openxmlformats.org/spreadsheetml/2006/main">
  <numFmts count="4">
    <numFmt numFmtId="164" formatCode="General"/>
    <numFmt numFmtId="165" formatCode="#,##0.####"/>
    <numFmt numFmtId="166" formatCode="#,##0.00"/>
    <numFmt numFmtId="167" formatCode="#,##0.0000"/>
  </numFmts>
  <fonts count="16">
    <font>
      <sz val="11"/>
      <color theme="1"/>
      <name val="Calibri"/>
      <family val="2"/>
      <charset val="1"/>
    </font>
    <font>
      <sz val="10"/>
      <name val="Arial"/>
      <family val="0"/>
    </font>
    <font>
      <sz val="10"/>
      <name val="Arial"/>
      <family val="0"/>
    </font>
    <font>
      <sz val="10"/>
      <name val="Arial"/>
      <family val="0"/>
    </font>
    <font>
      <b val="true"/>
      <sz val="18"/>
      <color rgb="FF6C3000"/>
      <name val="Arial"/>
      <family val="0"/>
      <charset val="1"/>
    </font>
    <font>
      <sz val="11"/>
      <color rgb="FF8A7A5E"/>
      <name val="Arial"/>
      <family val="0"/>
      <charset val="1"/>
    </font>
    <font>
      <b val="true"/>
      <sz val="11"/>
      <color rgb="FF8A4B08"/>
      <name val="Arial"/>
      <family val="0"/>
      <charset val="1"/>
    </font>
    <font>
      <sz val="10"/>
      <color rgb="FF18181B"/>
      <name val="Arial"/>
      <family val="0"/>
      <charset val="1"/>
    </font>
    <font>
      <b val="true"/>
      <sz val="11"/>
      <color rgb="FF6C3000"/>
      <name val="Arial"/>
      <family val="0"/>
      <charset val="1"/>
    </font>
    <font>
      <b val="true"/>
      <sz val="10"/>
      <color rgb="FFFFFFFF"/>
      <name val="Arial"/>
      <family val="0"/>
      <charset val="1"/>
    </font>
    <font>
      <b val="true"/>
      <sz val="10"/>
      <color rgb="FF18181B"/>
      <name val="Arial"/>
      <family val="0"/>
      <charset val="1"/>
    </font>
    <font>
      <b val="true"/>
      <sz val="10"/>
      <color rgb="FF8A7A5E"/>
      <name val="Arial"/>
      <family val="0"/>
      <charset val="1"/>
    </font>
    <font>
      <i val="true"/>
      <sz val="9"/>
      <color rgb="FF8A7A5E"/>
      <name val="Arial"/>
      <family val="0"/>
      <charset val="1"/>
    </font>
    <font>
      <sz val="9"/>
      <color rgb="FF8A7A5E"/>
      <name val="Arial"/>
      <family val="0"/>
      <charset val="1"/>
    </font>
    <font>
      <sz val="9"/>
      <color rgb="FF18181B"/>
      <name val="Arial"/>
      <family val="0"/>
      <charset val="1"/>
    </font>
    <font>
      <b val="true"/>
      <sz val="12"/>
      <color rgb="FF6C3000"/>
      <name val="Arial"/>
      <family val="0"/>
      <charset val="1"/>
    </font>
  </fonts>
  <fills count="7">
    <fill>
      <patternFill patternType="none"/>
    </fill>
    <fill>
      <patternFill patternType="gray125"/>
    </fill>
    <fill>
      <patternFill patternType="solid">
        <fgColor rgb="FF6C3000"/>
        <bgColor rgb="FF8A4B08"/>
      </patternFill>
    </fill>
    <fill>
      <patternFill patternType="solid">
        <fgColor rgb="FFFEF3DA"/>
        <bgColor rgb="FFFFFFFF"/>
      </patternFill>
    </fill>
    <fill>
      <patternFill patternType="solid">
        <fgColor rgb="FFE2DED6"/>
        <bgColor rgb="FFE4D9C2"/>
      </patternFill>
    </fill>
    <fill>
      <patternFill patternType="solid">
        <fgColor rgb="FFFFFFFF"/>
        <bgColor rgb="FFFEF3DA"/>
      </patternFill>
    </fill>
    <fill>
      <patternFill patternType="solid">
        <fgColor rgb="FF8A4B08"/>
        <bgColor rgb="FF6C3000"/>
      </patternFill>
    </fill>
  </fills>
  <borders count="2">
    <border diagonalUp="false" diagonalDown="false">
      <left/>
      <right/>
      <top/>
      <bottom/>
      <diagonal/>
    </border>
    <border diagonalUp="false" diagonalDown="false">
      <left style="thin">
        <color rgb="FFE4D9C2"/>
      </left>
      <right style="thin">
        <color rgb="FFE4D9C2"/>
      </right>
      <top style="thin">
        <color rgb="FFE4D9C2"/>
      </top>
      <bottom style="thin">
        <color rgb="FFE4D9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general" vertical="center" textRotation="0" wrapText="false" indent="0" shrinkToFit="false"/>
      <protection locked="true" hidden="false"/>
    </xf>
    <xf numFmtId="165" fontId="12" fillId="3" borderId="1" xfId="0" applyFont="true" applyBorder="true" applyAlignment="true" applyProtection="false">
      <alignment horizontal="general" vertical="center" textRotation="0" wrapText="false" indent="0" shrinkToFit="false"/>
      <protection locked="true" hidden="false"/>
    </xf>
    <xf numFmtId="166" fontId="12" fillId="3" borderId="1" xfId="0" applyFont="true" applyBorder="true" applyAlignment="true" applyProtection="false">
      <alignment horizontal="general" vertical="center" textRotation="0" wrapText="fals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7" fontId="13" fillId="4"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5" fontId="7" fillId="3" borderId="1" xfId="0" applyFont="true" applyBorder="true" applyAlignment="true" applyProtection="false">
      <alignment horizontal="general" vertical="center" textRotation="0" wrapText="false" indent="0" shrinkToFit="false"/>
      <protection locked="true" hidden="false"/>
    </xf>
    <xf numFmtId="166" fontId="7" fillId="3"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6" borderId="0"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5" fontId="14" fillId="0" borderId="1" xfId="0" applyFont="true" applyBorder="true" applyAlignment="true" applyProtection="false">
      <alignment horizontal="general" vertical="center" textRotation="0" wrapText="false" indent="0" shrinkToFit="false"/>
      <protection locked="true" hidden="false"/>
    </xf>
    <xf numFmtId="166" fontId="14"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7" fontId="13" fillId="0" borderId="1"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EF3DA"/>
          <bgColor rgb="FF000000"/>
        </patternFill>
      </fill>
    </dxf>
    <dxf>
      <fill>
        <patternFill patternType="solid">
          <fgColor rgb="FF18181B"/>
          <bgColor rgb="FF000000"/>
        </patternFill>
      </fill>
    </dxf>
    <dxf>
      <fill>
        <patternFill patternType="solid">
          <fgColor rgb="FF8A7A5E"/>
          <bgColor rgb="FF000000"/>
        </patternFill>
      </fill>
    </dxf>
    <dxf>
      <fill>
        <patternFill patternType="solid">
          <fgColor rgb="FFE2DED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CA0"/>
      <rgbColor rgb="FF8A7A5E"/>
      <rgbColor rgb="FF9999FF"/>
      <rgbColor rgb="FF993366"/>
      <rgbColor rgb="FFFEF3DA"/>
      <rgbColor rgb="FFCCFFFF"/>
      <rgbColor rgb="FF660066"/>
      <rgbColor rgb="FFFF8080"/>
      <rgbColor rgb="FF0066CC"/>
      <rgbColor rgb="FFE2DE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4D9C2"/>
      <rgbColor rgb="FF3366FF"/>
      <rgbColor rgb="FF33CCCC"/>
      <rgbColor rgb="FF99CC00"/>
      <rgbColor rgb="FFFFCC00"/>
      <rgbColor rgb="FFF59E0B"/>
      <rgbColor rgb="FFFF6600"/>
      <rgbColor rgb="FF666699"/>
      <rgbColor rgb="FF969696"/>
      <rgbColor rgb="FF003366"/>
      <rgbColor rgb="FF339966"/>
      <rgbColor rgb="FF18181B"/>
      <rgbColor rgb="FF6C3000"/>
      <rgbColor rgb="FF8A4B0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914040</xdr:colOff>
      <xdr:row>1</xdr:row>
      <xdr:rowOff>647280</xdr:rowOff>
    </xdr:to>
    <xdr:pic>
      <xdr:nvPicPr>
        <xdr:cNvPr id="0" name="Image 1" descr="Picture"/>
        <xdr:cNvPicPr/>
      </xdr:nvPicPr>
      <xdr:blipFill>
        <a:blip r:embed="rId1"/>
        <a:stretch/>
      </xdr:blipFill>
      <xdr:spPr>
        <a:xfrm>
          <a:off x="211320" y="190440"/>
          <a:ext cx="914040" cy="64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C3000"/>
    <pageSetUpPr fitToPage="false"/>
  </sheetPr>
  <dimension ref="B2: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s>
  <sheetData>
    <row r="2" customFormat="false" ht="55.5" hidden="false" customHeight="true" outlineLevel="0" collapsed="false"/>
    <row r="3" customFormat="false" ht="7.5" hidden="false" customHeight="true" outlineLevel="0" collapsed="false"/>
    <row r="4" customFormat="false" ht="22.05" hidden="false" customHeight="false" outlineLevel="0" collapsed="false">
      <c r="B4" s="1" t="s">
        <v>0</v>
      </c>
    </row>
    <row r="5" customFormat="false" ht="15" hidden="false" customHeight="false" outlineLevel="0" collapsed="false">
      <c r="B5" s="2" t="s">
        <v>1</v>
      </c>
    </row>
    <row r="7" customFormat="false" ht="27.75" hidden="false" customHeight="true" outlineLevel="0" collapsed="false">
      <c r="B7" s="3" t="s">
        <v>2</v>
      </c>
      <c r="C7" s="4" t="s">
        <v>3</v>
      </c>
    </row>
    <row r="8" customFormat="false" ht="42" hidden="false" customHeight="true" outlineLevel="0" collapsed="false">
      <c r="B8" s="3" t="s">
        <v>4</v>
      </c>
      <c r="C8" s="4" t="s">
        <v>5</v>
      </c>
    </row>
    <row r="9" customFormat="false" ht="42" hidden="false" customHeight="true" outlineLevel="0" collapsed="false">
      <c r="B9" s="3" t="s">
        <v>6</v>
      </c>
      <c r="C9" s="4" t="s">
        <v>7</v>
      </c>
    </row>
    <row r="10" customFormat="false" ht="42" hidden="false" customHeight="true" outlineLevel="0" collapsed="false">
      <c r="B10" s="3" t="s">
        <v>8</v>
      </c>
      <c r="C10" s="4" t="s">
        <v>9</v>
      </c>
    </row>
    <row r="11" customFormat="false" ht="42" hidden="false" customHeight="true" outlineLevel="0" collapsed="false">
      <c r="B11" s="3" t="s">
        <v>10</v>
      </c>
      <c r="C11" s="4" t="s">
        <v>11</v>
      </c>
    </row>
    <row r="12" customFormat="false" ht="27.75" hidden="false" customHeight="true" outlineLevel="0" collapsed="false">
      <c r="B12" s="3" t="s">
        <v>12</v>
      </c>
      <c r="C12" s="4" t="s">
        <v>13</v>
      </c>
    </row>
    <row r="13" customFormat="false" ht="42" hidden="false" customHeight="true" outlineLevel="0" collapsed="false">
      <c r="B13" s="3" t="s">
        <v>14</v>
      </c>
      <c r="C13" s="4" t="s">
        <v>15</v>
      </c>
    </row>
    <row r="14" customFormat="false" ht="42" hidden="false" customHeight="true" outlineLevel="0" collapsed="false">
      <c r="B14" s="3" t="s">
        <v>16</v>
      </c>
      <c r="C14" s="4" t="s">
        <v>17</v>
      </c>
    </row>
    <row r="16" customFormat="false" ht="23.85" hidden="false" customHeight="false" outlineLevel="0" collapsed="false">
      <c r="B16" s="5" t="s">
        <v>18</v>
      </c>
      <c r="C16"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P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24"/>
    <col collapsed="false" customWidth="true" hidden="false" outlineLevel="0" max="4" min="4" style="0" width="20"/>
    <col collapsed="false" customWidth="true" hidden="false" outlineLevel="0" max="5" min="5" style="0" width="19"/>
    <col collapsed="false" customWidth="true" hidden="false" outlineLevel="0" max="6" min="6" style="0" width="15"/>
    <col collapsed="false" customWidth="true" hidden="false" outlineLevel="0" max="7" min="7" style="0" width="17"/>
    <col collapsed="false" customWidth="true" hidden="false" outlineLevel="0" max="8" min="8" style="0" width="46"/>
    <col collapsed="false" customWidth="true" hidden="false" outlineLevel="0" max="9" min="9" style="0" width="14"/>
    <col collapsed="false" customWidth="true" hidden="false" outlineLevel="0" max="10" min="10" style="0" width="20"/>
    <col collapsed="false" customWidth="true" hidden="false" outlineLevel="0" max="11" min="11" style="0" width="26"/>
    <col collapsed="false" customWidth="true" hidden="false" outlineLevel="0" max="12" min="12" style="0" width="20"/>
    <col collapsed="false" customWidth="true" hidden="false" outlineLevel="0" max="13" min="13" style="0" width="12"/>
    <col collapsed="false" customWidth="true" hidden="false" outlineLevel="0" max="15" min="14" style="0" width="13"/>
    <col collapsed="false" customWidth="true" hidden="false" outlineLevel="0" max="16" min="16" style="0" width="34"/>
  </cols>
  <sheetData>
    <row r="1" customFormat="false" ht="31.5" hidden="false" customHeight="true" outlineLevel="0" collapsed="false">
      <c r="A1" s="6" t="s">
        <v>20</v>
      </c>
      <c r="B1" s="6"/>
      <c r="C1" s="6"/>
      <c r="D1" s="6"/>
      <c r="E1" s="6"/>
      <c r="F1" s="6"/>
      <c r="G1" s="6"/>
      <c r="H1" s="6"/>
      <c r="I1" s="6"/>
      <c r="J1" s="6"/>
      <c r="K1" s="6"/>
      <c r="L1" s="6"/>
      <c r="M1" s="6"/>
      <c r="N1" s="6"/>
      <c r="O1" s="6"/>
      <c r="P1" s="6"/>
    </row>
    <row r="2" customFormat="false" ht="33.75" hidden="false" customHeight="true" outlineLevel="0" collapsed="false">
      <c r="A2" s="7" t="s">
        <v>21</v>
      </c>
      <c r="B2" s="7" t="s">
        <v>22</v>
      </c>
      <c r="C2" s="7" t="s">
        <v>23</v>
      </c>
      <c r="D2" s="7" t="s">
        <v>24</v>
      </c>
      <c r="E2" s="7" t="s">
        <v>25</v>
      </c>
      <c r="F2" s="7" t="s">
        <v>26</v>
      </c>
      <c r="G2" s="7" t="s">
        <v>27</v>
      </c>
      <c r="H2" s="8" t="s">
        <v>28</v>
      </c>
      <c r="I2" s="8" t="s">
        <v>29</v>
      </c>
      <c r="J2" s="9" t="s">
        <v>30</v>
      </c>
      <c r="K2" s="9" t="s">
        <v>31</v>
      </c>
      <c r="L2" s="9" t="s">
        <v>32</v>
      </c>
      <c r="M2" s="9" t="s">
        <v>33</v>
      </c>
      <c r="N2" s="9" t="s">
        <v>34</v>
      </c>
      <c r="O2" s="9" t="s">
        <v>35</v>
      </c>
      <c r="P2" s="9" t="s">
        <v>36</v>
      </c>
    </row>
    <row r="3" customFormat="false" ht="22.35" hidden="false" customHeight="false" outlineLevel="0" collapsed="false">
      <c r="A3" s="10" t="s">
        <v>37</v>
      </c>
      <c r="B3" s="11" t="s">
        <v>38</v>
      </c>
      <c r="C3" s="11" t="s">
        <v>39</v>
      </c>
      <c r="D3" s="11" t="s">
        <v>40</v>
      </c>
      <c r="E3" s="11" t="s">
        <v>41</v>
      </c>
      <c r="F3" s="12" t="n">
        <v>100</v>
      </c>
      <c r="G3" s="13" t="n">
        <v>450</v>
      </c>
      <c r="H3" s="14" t="str">
        <f aca="false">IF(OR($A3="",$D3="",$E3="",$F3=""),"",IFERROR($A3&amp;" / "&amp;IF(AND($F3=1,$D3=$E3),INDEX(Listas!$I$5:$I$25,MATCH($E3,Listas!$H$5:$H$25,0)),INDEX(Listas!$I$5:$I$25,MATCH($E3,Listas!$H$5:$H$25,0))&amp;" X "&amp;TEXT($F3,"0.####")&amp;" "&amp;INDEX(Listas!$I$5:$I$25,MATCH($D3,Listas!$H$5:$H$25,0))),"⚠ revisar la unidad"))</f>
        <v>ACETAMINOFÉN 500 MG TABLETA / CAJA X 100 TAB</v>
      </c>
      <c r="I3" s="15" t="n">
        <f aca="false">IF(OR($F3="",$G3="",$F3=0),"",$G3/$F3)</f>
        <v>4.5</v>
      </c>
      <c r="J3" s="16" t="s">
        <v>42</v>
      </c>
      <c r="K3" s="16" t="s">
        <v>43</v>
      </c>
      <c r="L3" s="16" t="s">
        <v>44</v>
      </c>
      <c r="M3" s="16" t="s">
        <v>45</v>
      </c>
      <c r="N3" s="16" t="s">
        <v>46</v>
      </c>
      <c r="O3" s="16" t="s">
        <v>46</v>
      </c>
      <c r="P3" s="17" t="s">
        <v>47</v>
      </c>
    </row>
    <row r="4" customFormat="false" ht="15" hidden="false" customHeight="false" outlineLevel="0" collapsed="false">
      <c r="A4" s="18"/>
      <c r="B4" s="19"/>
      <c r="C4" s="19"/>
      <c r="D4" s="19"/>
      <c r="E4" s="19"/>
      <c r="F4" s="20"/>
      <c r="G4" s="21"/>
      <c r="H4" s="14" t="str">
        <f aca="false">IF(OR($A4="",$D4="",$E4="",$F4=""),"",IFERROR($A4&amp;" / "&amp;IF(AND($F4=1,$D4=$E4),INDEX(Listas!$I$5:$I$25,MATCH($E4,Listas!$H$5:$H$25,0)),INDEX(Listas!$I$5:$I$25,MATCH($E4,Listas!$H$5:$H$25,0))&amp;" X "&amp;TEXT($F4,"0.####")&amp;" "&amp;INDEX(Listas!$I$5:$I$25,MATCH($D4,Listas!$H$5:$H$25,0))),"⚠ revisar la unidad"))</f>
        <v/>
      </c>
      <c r="I4" s="15" t="str">
        <f aca="false">IF(OR($F4="",$G4="",$F4=0),"",$G4/$F4)</f>
        <v/>
      </c>
      <c r="J4" s="22"/>
      <c r="K4" s="22"/>
      <c r="L4" s="22"/>
      <c r="M4" s="22"/>
      <c r="N4" s="22"/>
      <c r="O4" s="22"/>
      <c r="P4" s="23"/>
    </row>
    <row r="5" customFormat="false" ht="15" hidden="false" customHeight="false" outlineLevel="0" collapsed="false">
      <c r="A5" s="18"/>
      <c r="B5" s="19"/>
      <c r="C5" s="19"/>
      <c r="D5" s="19"/>
      <c r="E5" s="19"/>
      <c r="F5" s="20"/>
      <c r="G5" s="21"/>
      <c r="H5" s="14" t="str">
        <f aca="false">IF(OR($A5="",$D5="",$E5="",$F5=""),"",IFERROR($A5&amp;" / "&amp;IF(AND($F5=1,$D5=$E5),INDEX(Listas!$I$5:$I$25,MATCH($E5,Listas!$H$5:$H$25,0)),INDEX(Listas!$I$5:$I$25,MATCH($E5,Listas!$H$5:$H$25,0))&amp;" X "&amp;TEXT($F5,"0.####")&amp;" "&amp;INDEX(Listas!$I$5:$I$25,MATCH($D5,Listas!$H$5:$H$25,0))),"⚠ revisar la unidad"))</f>
        <v/>
      </c>
      <c r="I5" s="15" t="str">
        <f aca="false">IF(OR($F5="",$G5="",$F5=0),"",$G5/$F5)</f>
        <v/>
      </c>
      <c r="J5" s="22"/>
      <c r="K5" s="22"/>
      <c r="L5" s="22"/>
      <c r="M5" s="22"/>
      <c r="N5" s="22"/>
      <c r="O5" s="22"/>
      <c r="P5" s="23"/>
    </row>
    <row r="6" customFormat="false" ht="15" hidden="false" customHeight="false" outlineLevel="0" collapsed="false">
      <c r="A6" s="18"/>
      <c r="B6" s="19"/>
      <c r="C6" s="19"/>
      <c r="D6" s="19"/>
      <c r="E6" s="19"/>
      <c r="F6" s="20"/>
      <c r="G6" s="21"/>
      <c r="H6" s="14" t="str">
        <f aca="false">IF(OR($A6="",$D6="",$E6="",$F6=""),"",IFERROR($A6&amp;" / "&amp;IF(AND($F6=1,$D6=$E6),INDEX(Listas!$I$5:$I$25,MATCH($E6,Listas!$H$5:$H$25,0)),INDEX(Listas!$I$5:$I$25,MATCH($E6,Listas!$H$5:$H$25,0))&amp;" X "&amp;TEXT($F6,"0.####")&amp;" "&amp;INDEX(Listas!$I$5:$I$25,MATCH($D6,Listas!$H$5:$H$25,0))),"⚠ revisar la unidad"))</f>
        <v/>
      </c>
      <c r="I6" s="15" t="str">
        <f aca="false">IF(OR($F6="",$G6="",$F6=0),"",$G6/$F6)</f>
        <v/>
      </c>
      <c r="J6" s="22"/>
      <c r="K6" s="22"/>
      <c r="L6" s="22"/>
      <c r="M6" s="22"/>
      <c r="N6" s="22"/>
      <c r="O6" s="22"/>
      <c r="P6" s="23"/>
    </row>
    <row r="7" customFormat="false" ht="15" hidden="false" customHeight="false" outlineLevel="0" collapsed="false">
      <c r="A7" s="18"/>
      <c r="B7" s="19"/>
      <c r="C7" s="19"/>
      <c r="D7" s="19"/>
      <c r="E7" s="19"/>
      <c r="F7" s="20"/>
      <c r="G7" s="21"/>
      <c r="H7" s="14" t="str">
        <f aca="false">IF(OR($A7="",$D7="",$E7="",$F7=""),"",IFERROR($A7&amp;" / "&amp;IF(AND($F7=1,$D7=$E7),INDEX(Listas!$I$5:$I$25,MATCH($E7,Listas!$H$5:$H$25,0)),INDEX(Listas!$I$5:$I$25,MATCH($E7,Listas!$H$5:$H$25,0))&amp;" X "&amp;TEXT($F7,"0.####")&amp;" "&amp;INDEX(Listas!$I$5:$I$25,MATCH($D7,Listas!$H$5:$H$25,0))),"⚠ revisar la unidad"))</f>
        <v/>
      </c>
      <c r="I7" s="15" t="str">
        <f aca="false">IF(OR($F7="",$G7="",$F7=0),"",$G7/$F7)</f>
        <v/>
      </c>
      <c r="J7" s="22"/>
      <c r="K7" s="22"/>
      <c r="L7" s="22"/>
      <c r="M7" s="22"/>
      <c r="N7" s="22"/>
      <c r="O7" s="22"/>
      <c r="P7" s="23"/>
    </row>
    <row r="8" customFormat="false" ht="15" hidden="false" customHeight="false" outlineLevel="0" collapsed="false">
      <c r="A8" s="18"/>
      <c r="B8" s="19"/>
      <c r="C8" s="19"/>
      <c r="D8" s="19"/>
      <c r="E8" s="19"/>
      <c r="F8" s="20"/>
      <c r="G8" s="21"/>
      <c r="H8" s="14" t="str">
        <f aca="false">IF(OR($A8="",$D8="",$E8="",$F8=""),"",IFERROR($A8&amp;" / "&amp;IF(AND($F8=1,$D8=$E8),INDEX(Listas!$I$5:$I$25,MATCH($E8,Listas!$H$5:$H$25,0)),INDEX(Listas!$I$5:$I$25,MATCH($E8,Listas!$H$5:$H$25,0))&amp;" X "&amp;TEXT($F8,"0.####")&amp;" "&amp;INDEX(Listas!$I$5:$I$25,MATCH($D8,Listas!$H$5:$H$25,0))),"⚠ revisar la unidad"))</f>
        <v/>
      </c>
      <c r="I8" s="15" t="str">
        <f aca="false">IF(OR($F8="",$G8="",$F8=0),"",$G8/$F8)</f>
        <v/>
      </c>
      <c r="J8" s="22"/>
      <c r="K8" s="22"/>
      <c r="L8" s="22"/>
      <c r="M8" s="22"/>
      <c r="N8" s="22"/>
      <c r="O8" s="22"/>
      <c r="P8" s="23"/>
    </row>
    <row r="9" customFormat="false" ht="15" hidden="false" customHeight="false" outlineLevel="0" collapsed="false">
      <c r="A9" s="18"/>
      <c r="B9" s="19"/>
      <c r="C9" s="19"/>
      <c r="D9" s="19"/>
      <c r="E9" s="19"/>
      <c r="F9" s="20"/>
      <c r="G9" s="21"/>
      <c r="H9" s="14" t="str">
        <f aca="false">IF(OR($A9="",$D9="",$E9="",$F9=""),"",IFERROR($A9&amp;" / "&amp;IF(AND($F9=1,$D9=$E9),INDEX(Listas!$I$5:$I$25,MATCH($E9,Listas!$H$5:$H$25,0)),INDEX(Listas!$I$5:$I$25,MATCH($E9,Listas!$H$5:$H$25,0))&amp;" X "&amp;TEXT($F9,"0.####")&amp;" "&amp;INDEX(Listas!$I$5:$I$25,MATCH($D9,Listas!$H$5:$H$25,0))),"⚠ revisar la unidad"))</f>
        <v/>
      </c>
      <c r="I9" s="15" t="str">
        <f aca="false">IF(OR($F9="",$G9="",$F9=0),"",$G9/$F9)</f>
        <v/>
      </c>
      <c r="J9" s="22"/>
      <c r="K9" s="22"/>
      <c r="L9" s="22"/>
      <c r="M9" s="22"/>
      <c r="N9" s="22"/>
      <c r="O9" s="22"/>
      <c r="P9" s="23"/>
    </row>
    <row r="10" customFormat="false" ht="15" hidden="false" customHeight="false" outlineLevel="0" collapsed="false">
      <c r="A10" s="18"/>
      <c r="B10" s="19"/>
      <c r="C10" s="19"/>
      <c r="D10" s="19"/>
      <c r="E10" s="19"/>
      <c r="F10" s="20"/>
      <c r="G10" s="21"/>
      <c r="H10" s="14" t="str">
        <f aca="false">IF(OR($A10="",$D10="",$E10="",$F10=""),"",IFERROR($A10&amp;" / "&amp;IF(AND($F10=1,$D10=$E10),INDEX(Listas!$I$5:$I$25,MATCH($E10,Listas!$H$5:$H$25,0)),INDEX(Listas!$I$5:$I$25,MATCH($E10,Listas!$H$5:$H$25,0))&amp;" X "&amp;TEXT($F10,"0.####")&amp;" "&amp;INDEX(Listas!$I$5:$I$25,MATCH($D10,Listas!$H$5:$H$25,0))),"⚠ revisar la unidad"))</f>
        <v/>
      </c>
      <c r="I10" s="15" t="str">
        <f aca="false">IF(OR($F10="",$G10="",$F10=0),"",$G10/$F10)</f>
        <v/>
      </c>
      <c r="J10" s="22"/>
      <c r="K10" s="22"/>
      <c r="L10" s="22"/>
      <c r="M10" s="22"/>
      <c r="N10" s="22"/>
      <c r="O10" s="22"/>
      <c r="P10" s="23"/>
    </row>
    <row r="11" customFormat="false" ht="15" hidden="false" customHeight="false" outlineLevel="0" collapsed="false">
      <c r="A11" s="18"/>
      <c r="B11" s="19"/>
      <c r="C11" s="19"/>
      <c r="D11" s="19"/>
      <c r="E11" s="19"/>
      <c r="F11" s="20"/>
      <c r="G11" s="21"/>
      <c r="H11" s="14" t="str">
        <f aca="false">IF(OR($A11="",$D11="",$E11="",$F11=""),"",IFERROR($A11&amp;" / "&amp;IF(AND($F11=1,$D11=$E11),INDEX(Listas!$I$5:$I$25,MATCH($E11,Listas!$H$5:$H$25,0)),INDEX(Listas!$I$5:$I$25,MATCH($E11,Listas!$H$5:$H$25,0))&amp;" X "&amp;TEXT($F11,"0.####")&amp;" "&amp;INDEX(Listas!$I$5:$I$25,MATCH($D11,Listas!$H$5:$H$25,0))),"⚠ revisar la unidad"))</f>
        <v/>
      </c>
      <c r="I11" s="15" t="str">
        <f aca="false">IF(OR($F11="",$G11="",$F11=0),"",$G11/$F11)</f>
        <v/>
      </c>
      <c r="J11" s="22"/>
      <c r="K11" s="22"/>
      <c r="L11" s="22"/>
      <c r="M11" s="22"/>
      <c r="N11" s="22"/>
      <c r="O11" s="22"/>
      <c r="P11" s="23"/>
    </row>
    <row r="12" customFormat="false" ht="15" hidden="false" customHeight="false" outlineLevel="0" collapsed="false">
      <c r="A12" s="18"/>
      <c r="B12" s="19"/>
      <c r="C12" s="19"/>
      <c r="D12" s="19"/>
      <c r="E12" s="19"/>
      <c r="F12" s="20"/>
      <c r="G12" s="21"/>
      <c r="H12" s="14" t="str">
        <f aca="false">IF(OR($A12="",$D12="",$E12="",$F12=""),"",IFERROR($A12&amp;" / "&amp;IF(AND($F12=1,$D12=$E12),INDEX(Listas!$I$5:$I$25,MATCH($E12,Listas!$H$5:$H$25,0)),INDEX(Listas!$I$5:$I$25,MATCH($E12,Listas!$H$5:$H$25,0))&amp;" X "&amp;TEXT($F12,"0.####")&amp;" "&amp;INDEX(Listas!$I$5:$I$25,MATCH($D12,Listas!$H$5:$H$25,0))),"⚠ revisar la unidad"))</f>
        <v/>
      </c>
      <c r="I12" s="15" t="str">
        <f aca="false">IF(OR($F12="",$G12="",$F12=0),"",$G12/$F12)</f>
        <v/>
      </c>
      <c r="J12" s="22"/>
      <c r="K12" s="22"/>
      <c r="L12" s="22"/>
      <c r="M12" s="22"/>
      <c r="N12" s="22"/>
      <c r="O12" s="22"/>
      <c r="P12" s="23"/>
    </row>
    <row r="13" customFormat="false" ht="15" hidden="false" customHeight="false" outlineLevel="0" collapsed="false">
      <c r="A13" s="18"/>
      <c r="B13" s="19"/>
      <c r="C13" s="19"/>
      <c r="D13" s="19"/>
      <c r="E13" s="19"/>
      <c r="F13" s="20"/>
      <c r="G13" s="21"/>
      <c r="H13" s="14" t="str">
        <f aca="false">IF(OR($A13="",$D13="",$E13="",$F13=""),"",IFERROR($A13&amp;" / "&amp;IF(AND($F13=1,$D13=$E13),INDEX(Listas!$I$5:$I$25,MATCH($E13,Listas!$H$5:$H$25,0)),INDEX(Listas!$I$5:$I$25,MATCH($E13,Listas!$H$5:$H$25,0))&amp;" X "&amp;TEXT($F13,"0.####")&amp;" "&amp;INDEX(Listas!$I$5:$I$25,MATCH($D13,Listas!$H$5:$H$25,0))),"⚠ revisar la unidad"))</f>
        <v/>
      </c>
      <c r="I13" s="15" t="str">
        <f aca="false">IF(OR($F13="",$G13="",$F13=0),"",$G13/$F13)</f>
        <v/>
      </c>
      <c r="J13" s="22"/>
      <c r="K13" s="22"/>
      <c r="L13" s="22"/>
      <c r="M13" s="22"/>
      <c r="N13" s="22"/>
      <c r="O13" s="22"/>
      <c r="P13" s="23"/>
    </row>
    <row r="14" customFormat="false" ht="15" hidden="false" customHeight="false" outlineLevel="0" collapsed="false">
      <c r="A14" s="18"/>
      <c r="B14" s="19"/>
      <c r="C14" s="19"/>
      <c r="D14" s="19"/>
      <c r="E14" s="19"/>
      <c r="F14" s="20"/>
      <c r="G14" s="21"/>
      <c r="H14" s="14" t="str">
        <f aca="false">IF(OR($A14="",$D14="",$E14="",$F14=""),"",IFERROR($A14&amp;" / "&amp;IF(AND($F14=1,$D14=$E14),INDEX(Listas!$I$5:$I$25,MATCH($E14,Listas!$H$5:$H$25,0)),INDEX(Listas!$I$5:$I$25,MATCH($E14,Listas!$H$5:$H$25,0))&amp;" X "&amp;TEXT($F14,"0.####")&amp;" "&amp;INDEX(Listas!$I$5:$I$25,MATCH($D14,Listas!$H$5:$H$25,0))),"⚠ revisar la unidad"))</f>
        <v/>
      </c>
      <c r="I14" s="15" t="str">
        <f aca="false">IF(OR($F14="",$G14="",$F14=0),"",$G14/$F14)</f>
        <v/>
      </c>
      <c r="J14" s="22"/>
      <c r="K14" s="22"/>
      <c r="L14" s="22"/>
      <c r="M14" s="22"/>
      <c r="N14" s="22"/>
      <c r="O14" s="22"/>
      <c r="P14" s="23"/>
    </row>
    <row r="15" customFormat="false" ht="15" hidden="false" customHeight="false" outlineLevel="0" collapsed="false">
      <c r="A15" s="18"/>
      <c r="B15" s="19"/>
      <c r="C15" s="19"/>
      <c r="D15" s="19"/>
      <c r="E15" s="19"/>
      <c r="F15" s="20"/>
      <c r="G15" s="21"/>
      <c r="H15" s="14" t="str">
        <f aca="false">IF(OR($A15="",$D15="",$E15="",$F15=""),"",IFERROR($A15&amp;" / "&amp;IF(AND($F15=1,$D15=$E15),INDEX(Listas!$I$5:$I$25,MATCH($E15,Listas!$H$5:$H$25,0)),INDEX(Listas!$I$5:$I$25,MATCH($E15,Listas!$H$5:$H$25,0))&amp;" X "&amp;TEXT($F15,"0.####")&amp;" "&amp;INDEX(Listas!$I$5:$I$25,MATCH($D15,Listas!$H$5:$H$25,0))),"⚠ revisar la unidad"))</f>
        <v/>
      </c>
      <c r="I15" s="15" t="str">
        <f aca="false">IF(OR($F15="",$G15="",$F15=0),"",$G15/$F15)</f>
        <v/>
      </c>
      <c r="J15" s="22"/>
      <c r="K15" s="22"/>
      <c r="L15" s="22"/>
      <c r="M15" s="22"/>
      <c r="N15" s="22"/>
      <c r="O15" s="22"/>
      <c r="P15" s="23"/>
    </row>
    <row r="16" customFormat="false" ht="15" hidden="false" customHeight="false" outlineLevel="0" collapsed="false">
      <c r="A16" s="18"/>
      <c r="B16" s="19"/>
      <c r="C16" s="19"/>
      <c r="D16" s="19"/>
      <c r="E16" s="19"/>
      <c r="F16" s="20"/>
      <c r="G16" s="21"/>
      <c r="H16" s="14" t="str">
        <f aca="false">IF(OR($A16="",$D16="",$E16="",$F16=""),"",IFERROR($A16&amp;" / "&amp;IF(AND($F16=1,$D16=$E16),INDEX(Listas!$I$5:$I$25,MATCH($E16,Listas!$H$5:$H$25,0)),INDEX(Listas!$I$5:$I$25,MATCH($E16,Listas!$H$5:$H$25,0))&amp;" X "&amp;TEXT($F16,"0.####")&amp;" "&amp;INDEX(Listas!$I$5:$I$25,MATCH($D16,Listas!$H$5:$H$25,0))),"⚠ revisar la unidad"))</f>
        <v/>
      </c>
      <c r="I16" s="15" t="str">
        <f aca="false">IF(OR($F16="",$G16="",$F16=0),"",$G16/$F16)</f>
        <v/>
      </c>
      <c r="J16" s="22"/>
      <c r="K16" s="22"/>
      <c r="L16" s="22"/>
      <c r="M16" s="22"/>
      <c r="N16" s="22"/>
      <c r="O16" s="22"/>
      <c r="P16" s="23"/>
    </row>
    <row r="17" customFormat="false" ht="15" hidden="false" customHeight="false" outlineLevel="0" collapsed="false">
      <c r="A17" s="18"/>
      <c r="B17" s="19"/>
      <c r="C17" s="19"/>
      <c r="D17" s="19"/>
      <c r="E17" s="19"/>
      <c r="F17" s="20"/>
      <c r="G17" s="21"/>
      <c r="H17" s="14" t="str">
        <f aca="false">IF(OR($A17="",$D17="",$E17="",$F17=""),"",IFERROR($A17&amp;" / "&amp;IF(AND($F17=1,$D17=$E17),INDEX(Listas!$I$5:$I$25,MATCH($E17,Listas!$H$5:$H$25,0)),INDEX(Listas!$I$5:$I$25,MATCH($E17,Listas!$H$5:$H$25,0))&amp;" X "&amp;TEXT($F17,"0.####")&amp;" "&amp;INDEX(Listas!$I$5:$I$25,MATCH($D17,Listas!$H$5:$H$25,0))),"⚠ revisar la unidad"))</f>
        <v/>
      </c>
      <c r="I17" s="15" t="str">
        <f aca="false">IF(OR($F17="",$G17="",$F17=0),"",$G17/$F17)</f>
        <v/>
      </c>
      <c r="J17" s="22"/>
      <c r="K17" s="22"/>
      <c r="L17" s="22"/>
      <c r="M17" s="22"/>
      <c r="N17" s="22"/>
      <c r="O17" s="22"/>
      <c r="P17" s="23"/>
    </row>
    <row r="18" customFormat="false" ht="15" hidden="false" customHeight="false" outlineLevel="0" collapsed="false">
      <c r="A18" s="18"/>
      <c r="B18" s="19"/>
      <c r="C18" s="19"/>
      <c r="D18" s="19"/>
      <c r="E18" s="19"/>
      <c r="F18" s="20"/>
      <c r="G18" s="21"/>
      <c r="H18" s="14" t="str">
        <f aca="false">IF(OR($A18="",$D18="",$E18="",$F18=""),"",IFERROR($A18&amp;" / "&amp;IF(AND($F18=1,$D18=$E18),INDEX(Listas!$I$5:$I$25,MATCH($E18,Listas!$H$5:$H$25,0)),INDEX(Listas!$I$5:$I$25,MATCH($E18,Listas!$H$5:$H$25,0))&amp;" X "&amp;TEXT($F18,"0.####")&amp;" "&amp;INDEX(Listas!$I$5:$I$25,MATCH($D18,Listas!$H$5:$H$25,0))),"⚠ revisar la unidad"))</f>
        <v/>
      </c>
      <c r="I18" s="15" t="str">
        <f aca="false">IF(OR($F18="",$G18="",$F18=0),"",$G18/$F18)</f>
        <v/>
      </c>
      <c r="J18" s="22"/>
      <c r="K18" s="22"/>
      <c r="L18" s="22"/>
      <c r="M18" s="22"/>
      <c r="N18" s="22"/>
      <c r="O18" s="22"/>
      <c r="P18" s="23"/>
    </row>
    <row r="19" customFormat="false" ht="15" hidden="false" customHeight="false" outlineLevel="0" collapsed="false">
      <c r="A19" s="18"/>
      <c r="B19" s="19"/>
      <c r="C19" s="19"/>
      <c r="D19" s="19"/>
      <c r="E19" s="19"/>
      <c r="F19" s="20"/>
      <c r="G19" s="21"/>
      <c r="H19" s="14" t="str">
        <f aca="false">IF(OR($A19="",$D19="",$E19="",$F19=""),"",IFERROR($A19&amp;" / "&amp;IF(AND($F19=1,$D19=$E19),INDEX(Listas!$I$5:$I$25,MATCH($E19,Listas!$H$5:$H$25,0)),INDEX(Listas!$I$5:$I$25,MATCH($E19,Listas!$H$5:$H$25,0))&amp;" X "&amp;TEXT($F19,"0.####")&amp;" "&amp;INDEX(Listas!$I$5:$I$25,MATCH($D19,Listas!$H$5:$H$25,0))),"⚠ revisar la unidad"))</f>
        <v/>
      </c>
      <c r="I19" s="15" t="str">
        <f aca="false">IF(OR($F19="",$G19="",$F19=0),"",$G19/$F19)</f>
        <v/>
      </c>
      <c r="J19" s="22"/>
      <c r="K19" s="22"/>
      <c r="L19" s="22"/>
      <c r="M19" s="22"/>
      <c r="N19" s="22"/>
      <c r="O19" s="22"/>
      <c r="P19" s="23"/>
    </row>
    <row r="20" customFormat="false" ht="15" hidden="false" customHeight="false" outlineLevel="0" collapsed="false">
      <c r="A20" s="18"/>
      <c r="B20" s="19"/>
      <c r="C20" s="19"/>
      <c r="D20" s="19"/>
      <c r="E20" s="19"/>
      <c r="F20" s="20"/>
      <c r="G20" s="21"/>
      <c r="H20" s="14" t="str">
        <f aca="false">IF(OR($A20="",$D20="",$E20="",$F20=""),"",IFERROR($A20&amp;" / "&amp;IF(AND($F20=1,$D20=$E20),INDEX(Listas!$I$5:$I$25,MATCH($E20,Listas!$H$5:$H$25,0)),INDEX(Listas!$I$5:$I$25,MATCH($E20,Listas!$H$5:$H$25,0))&amp;" X "&amp;TEXT($F20,"0.####")&amp;" "&amp;INDEX(Listas!$I$5:$I$25,MATCH($D20,Listas!$H$5:$H$25,0))),"⚠ revisar la unidad"))</f>
        <v/>
      </c>
      <c r="I20" s="15" t="str">
        <f aca="false">IF(OR($F20="",$G20="",$F20=0),"",$G20/$F20)</f>
        <v/>
      </c>
      <c r="J20" s="22"/>
      <c r="K20" s="22"/>
      <c r="L20" s="22"/>
      <c r="M20" s="22"/>
      <c r="N20" s="22"/>
      <c r="O20" s="22"/>
      <c r="P20" s="23"/>
    </row>
    <row r="21" customFormat="false" ht="15" hidden="false" customHeight="false" outlineLevel="0" collapsed="false">
      <c r="A21" s="18"/>
      <c r="B21" s="19"/>
      <c r="C21" s="19"/>
      <c r="D21" s="19"/>
      <c r="E21" s="19"/>
      <c r="F21" s="20"/>
      <c r="G21" s="21"/>
      <c r="H21" s="14" t="str">
        <f aca="false">IF(OR($A21="",$D21="",$E21="",$F21=""),"",IFERROR($A21&amp;" / "&amp;IF(AND($F21=1,$D21=$E21),INDEX(Listas!$I$5:$I$25,MATCH($E21,Listas!$H$5:$H$25,0)),INDEX(Listas!$I$5:$I$25,MATCH($E21,Listas!$H$5:$H$25,0))&amp;" X "&amp;TEXT($F21,"0.####")&amp;" "&amp;INDEX(Listas!$I$5:$I$25,MATCH($D21,Listas!$H$5:$H$25,0))),"⚠ revisar la unidad"))</f>
        <v/>
      </c>
      <c r="I21" s="15" t="str">
        <f aca="false">IF(OR($F21="",$G21="",$F21=0),"",$G21/$F21)</f>
        <v/>
      </c>
      <c r="J21" s="22"/>
      <c r="K21" s="22"/>
      <c r="L21" s="22"/>
      <c r="M21" s="22"/>
      <c r="N21" s="22"/>
      <c r="O21" s="22"/>
      <c r="P21" s="23"/>
    </row>
    <row r="22" customFormat="false" ht="15" hidden="false" customHeight="false" outlineLevel="0" collapsed="false">
      <c r="A22" s="18"/>
      <c r="B22" s="19"/>
      <c r="C22" s="19"/>
      <c r="D22" s="19"/>
      <c r="E22" s="19"/>
      <c r="F22" s="20"/>
      <c r="G22" s="21"/>
      <c r="H22" s="14" t="str">
        <f aca="false">IF(OR($A22="",$D22="",$E22="",$F22=""),"",IFERROR($A22&amp;" / "&amp;IF(AND($F22=1,$D22=$E22),INDEX(Listas!$I$5:$I$25,MATCH($E22,Listas!$H$5:$H$25,0)),INDEX(Listas!$I$5:$I$25,MATCH($E22,Listas!$H$5:$H$25,0))&amp;" X "&amp;TEXT($F22,"0.####")&amp;" "&amp;INDEX(Listas!$I$5:$I$25,MATCH($D22,Listas!$H$5:$H$25,0))),"⚠ revisar la unidad"))</f>
        <v/>
      </c>
      <c r="I22" s="15" t="str">
        <f aca="false">IF(OR($F22="",$G22="",$F22=0),"",$G22/$F22)</f>
        <v/>
      </c>
      <c r="J22" s="22"/>
      <c r="K22" s="22"/>
      <c r="L22" s="22"/>
      <c r="M22" s="22"/>
      <c r="N22" s="22"/>
      <c r="O22" s="22"/>
      <c r="P22" s="23"/>
    </row>
    <row r="23" customFormat="false" ht="15" hidden="false" customHeight="false" outlineLevel="0" collapsed="false">
      <c r="A23" s="18"/>
      <c r="B23" s="19"/>
      <c r="C23" s="19"/>
      <c r="D23" s="19"/>
      <c r="E23" s="19"/>
      <c r="F23" s="20"/>
      <c r="G23" s="21"/>
      <c r="H23" s="14" t="str">
        <f aca="false">IF(OR($A23="",$D23="",$E23="",$F23=""),"",IFERROR($A23&amp;" / "&amp;IF(AND($F23=1,$D23=$E23),INDEX(Listas!$I$5:$I$25,MATCH($E23,Listas!$H$5:$H$25,0)),INDEX(Listas!$I$5:$I$25,MATCH($E23,Listas!$H$5:$H$25,0))&amp;" X "&amp;TEXT($F23,"0.####")&amp;" "&amp;INDEX(Listas!$I$5:$I$25,MATCH($D23,Listas!$H$5:$H$25,0))),"⚠ revisar la unidad"))</f>
        <v/>
      </c>
      <c r="I23" s="15" t="str">
        <f aca="false">IF(OR($F23="",$G23="",$F23=0),"",$G23/$F23)</f>
        <v/>
      </c>
      <c r="J23" s="22"/>
      <c r="K23" s="22"/>
      <c r="L23" s="22"/>
      <c r="M23" s="22"/>
      <c r="N23" s="22"/>
      <c r="O23" s="22"/>
      <c r="P23" s="23"/>
    </row>
    <row r="24" customFormat="false" ht="15" hidden="false" customHeight="false" outlineLevel="0" collapsed="false">
      <c r="A24" s="18"/>
      <c r="B24" s="19"/>
      <c r="C24" s="19"/>
      <c r="D24" s="19"/>
      <c r="E24" s="19"/>
      <c r="F24" s="20"/>
      <c r="G24" s="21"/>
      <c r="H24" s="14" t="str">
        <f aca="false">IF(OR($A24="",$D24="",$E24="",$F24=""),"",IFERROR($A24&amp;" / "&amp;IF(AND($F24=1,$D24=$E24),INDEX(Listas!$I$5:$I$25,MATCH($E24,Listas!$H$5:$H$25,0)),INDEX(Listas!$I$5:$I$25,MATCH($E24,Listas!$H$5:$H$25,0))&amp;" X "&amp;TEXT($F24,"0.####")&amp;" "&amp;INDEX(Listas!$I$5:$I$25,MATCH($D24,Listas!$H$5:$H$25,0))),"⚠ revisar la unidad"))</f>
        <v/>
      </c>
      <c r="I24" s="15" t="str">
        <f aca="false">IF(OR($F24="",$G24="",$F24=0),"",$G24/$F24)</f>
        <v/>
      </c>
      <c r="J24" s="22"/>
      <c r="K24" s="22"/>
      <c r="L24" s="22"/>
      <c r="M24" s="22"/>
      <c r="N24" s="22"/>
      <c r="O24" s="22"/>
      <c r="P24" s="23"/>
    </row>
    <row r="25" customFormat="false" ht="15" hidden="false" customHeight="false" outlineLevel="0" collapsed="false">
      <c r="A25" s="18"/>
      <c r="B25" s="19"/>
      <c r="C25" s="19"/>
      <c r="D25" s="19"/>
      <c r="E25" s="19"/>
      <c r="F25" s="20"/>
      <c r="G25" s="21"/>
      <c r="H25" s="14" t="str">
        <f aca="false">IF(OR($A25="",$D25="",$E25="",$F25=""),"",IFERROR($A25&amp;" / "&amp;IF(AND($F25=1,$D25=$E25),INDEX(Listas!$I$5:$I$25,MATCH($E25,Listas!$H$5:$H$25,0)),INDEX(Listas!$I$5:$I$25,MATCH($E25,Listas!$H$5:$H$25,0))&amp;" X "&amp;TEXT($F25,"0.####")&amp;" "&amp;INDEX(Listas!$I$5:$I$25,MATCH($D25,Listas!$H$5:$H$25,0))),"⚠ revisar la unidad"))</f>
        <v/>
      </c>
      <c r="I25" s="15" t="str">
        <f aca="false">IF(OR($F25="",$G25="",$F25=0),"",$G25/$F25)</f>
        <v/>
      </c>
      <c r="J25" s="22"/>
      <c r="K25" s="22"/>
      <c r="L25" s="22"/>
      <c r="M25" s="22"/>
      <c r="N25" s="22"/>
      <c r="O25" s="22"/>
      <c r="P25" s="23"/>
    </row>
    <row r="26" customFormat="false" ht="15" hidden="false" customHeight="false" outlineLevel="0" collapsed="false">
      <c r="A26" s="18"/>
      <c r="B26" s="19"/>
      <c r="C26" s="19"/>
      <c r="D26" s="19"/>
      <c r="E26" s="19"/>
      <c r="F26" s="20"/>
      <c r="G26" s="21"/>
      <c r="H26" s="14" t="str">
        <f aca="false">IF(OR($A26="",$D26="",$E26="",$F26=""),"",IFERROR($A26&amp;" / "&amp;IF(AND($F26=1,$D26=$E26),INDEX(Listas!$I$5:$I$25,MATCH($E26,Listas!$H$5:$H$25,0)),INDEX(Listas!$I$5:$I$25,MATCH($E26,Listas!$H$5:$H$25,0))&amp;" X "&amp;TEXT($F26,"0.####")&amp;" "&amp;INDEX(Listas!$I$5:$I$25,MATCH($D26,Listas!$H$5:$H$25,0))),"⚠ revisar la unidad"))</f>
        <v/>
      </c>
      <c r="I26" s="15" t="str">
        <f aca="false">IF(OR($F26="",$G26="",$F26=0),"",$G26/$F26)</f>
        <v/>
      </c>
      <c r="J26" s="22"/>
      <c r="K26" s="22"/>
      <c r="L26" s="22"/>
      <c r="M26" s="22"/>
      <c r="N26" s="22"/>
      <c r="O26" s="22"/>
      <c r="P26" s="23"/>
    </row>
    <row r="27" customFormat="false" ht="15" hidden="false" customHeight="false" outlineLevel="0" collapsed="false">
      <c r="A27" s="18"/>
      <c r="B27" s="19"/>
      <c r="C27" s="19"/>
      <c r="D27" s="19"/>
      <c r="E27" s="19"/>
      <c r="F27" s="20"/>
      <c r="G27" s="21"/>
      <c r="H27" s="14" t="str">
        <f aca="false">IF(OR($A27="",$D27="",$E27="",$F27=""),"",IFERROR($A27&amp;" / "&amp;IF(AND($F27=1,$D27=$E27),INDEX(Listas!$I$5:$I$25,MATCH($E27,Listas!$H$5:$H$25,0)),INDEX(Listas!$I$5:$I$25,MATCH($E27,Listas!$H$5:$H$25,0))&amp;" X "&amp;TEXT($F27,"0.####")&amp;" "&amp;INDEX(Listas!$I$5:$I$25,MATCH($D27,Listas!$H$5:$H$25,0))),"⚠ revisar la unidad"))</f>
        <v/>
      </c>
      <c r="I27" s="15" t="str">
        <f aca="false">IF(OR($F27="",$G27="",$F27=0),"",$G27/$F27)</f>
        <v/>
      </c>
      <c r="J27" s="22"/>
      <c r="K27" s="22"/>
      <c r="L27" s="22"/>
      <c r="M27" s="22"/>
      <c r="N27" s="22"/>
      <c r="O27" s="22"/>
      <c r="P27" s="23"/>
    </row>
    <row r="28" customFormat="false" ht="15" hidden="false" customHeight="false" outlineLevel="0" collapsed="false">
      <c r="A28" s="18"/>
      <c r="B28" s="19"/>
      <c r="C28" s="19"/>
      <c r="D28" s="19"/>
      <c r="E28" s="19"/>
      <c r="F28" s="20"/>
      <c r="G28" s="21"/>
      <c r="H28" s="14" t="str">
        <f aca="false">IF(OR($A28="",$D28="",$E28="",$F28=""),"",IFERROR($A28&amp;" / "&amp;IF(AND($F28=1,$D28=$E28),INDEX(Listas!$I$5:$I$25,MATCH($E28,Listas!$H$5:$H$25,0)),INDEX(Listas!$I$5:$I$25,MATCH($E28,Listas!$H$5:$H$25,0))&amp;" X "&amp;TEXT($F28,"0.####")&amp;" "&amp;INDEX(Listas!$I$5:$I$25,MATCH($D28,Listas!$H$5:$H$25,0))),"⚠ revisar la unidad"))</f>
        <v/>
      </c>
      <c r="I28" s="15" t="str">
        <f aca="false">IF(OR($F28="",$G28="",$F28=0),"",$G28/$F28)</f>
        <v/>
      </c>
      <c r="J28" s="22"/>
      <c r="K28" s="22"/>
      <c r="L28" s="22"/>
      <c r="M28" s="22"/>
      <c r="N28" s="22"/>
      <c r="O28" s="22"/>
      <c r="P28" s="23"/>
    </row>
    <row r="29" customFormat="false" ht="15" hidden="false" customHeight="false" outlineLevel="0" collapsed="false">
      <c r="A29" s="18"/>
      <c r="B29" s="19"/>
      <c r="C29" s="19"/>
      <c r="D29" s="19"/>
      <c r="E29" s="19"/>
      <c r="F29" s="20"/>
      <c r="G29" s="21"/>
      <c r="H29" s="14" t="str">
        <f aca="false">IF(OR($A29="",$D29="",$E29="",$F29=""),"",IFERROR($A29&amp;" / "&amp;IF(AND($F29=1,$D29=$E29),INDEX(Listas!$I$5:$I$25,MATCH($E29,Listas!$H$5:$H$25,0)),INDEX(Listas!$I$5:$I$25,MATCH($E29,Listas!$H$5:$H$25,0))&amp;" X "&amp;TEXT($F29,"0.####")&amp;" "&amp;INDEX(Listas!$I$5:$I$25,MATCH($D29,Listas!$H$5:$H$25,0))),"⚠ revisar la unidad"))</f>
        <v/>
      </c>
      <c r="I29" s="15" t="str">
        <f aca="false">IF(OR($F29="",$G29="",$F29=0),"",$G29/$F29)</f>
        <v/>
      </c>
      <c r="J29" s="22"/>
      <c r="K29" s="22"/>
      <c r="L29" s="22"/>
      <c r="M29" s="22"/>
      <c r="N29" s="22"/>
      <c r="O29" s="22"/>
      <c r="P29" s="23"/>
    </row>
    <row r="30" customFormat="false" ht="15" hidden="false" customHeight="false" outlineLevel="0" collapsed="false">
      <c r="A30" s="18"/>
      <c r="B30" s="19"/>
      <c r="C30" s="19"/>
      <c r="D30" s="19"/>
      <c r="E30" s="19"/>
      <c r="F30" s="20"/>
      <c r="G30" s="21"/>
      <c r="H30" s="14" t="str">
        <f aca="false">IF(OR($A30="",$D30="",$E30="",$F30=""),"",IFERROR($A30&amp;" / "&amp;IF(AND($F30=1,$D30=$E30),INDEX(Listas!$I$5:$I$25,MATCH($E30,Listas!$H$5:$H$25,0)),INDEX(Listas!$I$5:$I$25,MATCH($E30,Listas!$H$5:$H$25,0))&amp;" X "&amp;TEXT($F30,"0.####")&amp;" "&amp;INDEX(Listas!$I$5:$I$25,MATCH($D30,Listas!$H$5:$H$25,0))),"⚠ revisar la unidad"))</f>
        <v/>
      </c>
      <c r="I30" s="15" t="str">
        <f aca="false">IF(OR($F30="",$G30="",$F30=0),"",$G30/$F30)</f>
        <v/>
      </c>
      <c r="J30" s="22"/>
      <c r="K30" s="22"/>
      <c r="L30" s="22"/>
      <c r="M30" s="22"/>
      <c r="N30" s="22"/>
      <c r="O30" s="22"/>
      <c r="P30" s="23"/>
    </row>
    <row r="31" customFormat="false" ht="15" hidden="false" customHeight="false" outlineLevel="0" collapsed="false">
      <c r="A31" s="18"/>
      <c r="B31" s="19"/>
      <c r="C31" s="19"/>
      <c r="D31" s="19"/>
      <c r="E31" s="19"/>
      <c r="F31" s="20"/>
      <c r="G31" s="21"/>
      <c r="H31" s="14" t="str">
        <f aca="false">IF(OR($A31="",$D31="",$E31="",$F31=""),"",IFERROR($A31&amp;" / "&amp;IF(AND($F31=1,$D31=$E31),INDEX(Listas!$I$5:$I$25,MATCH($E31,Listas!$H$5:$H$25,0)),INDEX(Listas!$I$5:$I$25,MATCH($E31,Listas!$H$5:$H$25,0))&amp;" X "&amp;TEXT($F31,"0.####")&amp;" "&amp;INDEX(Listas!$I$5:$I$25,MATCH($D31,Listas!$H$5:$H$25,0))),"⚠ revisar la unidad"))</f>
        <v/>
      </c>
      <c r="I31" s="15" t="str">
        <f aca="false">IF(OR($F31="",$G31="",$F31=0),"",$G31/$F31)</f>
        <v/>
      </c>
      <c r="J31" s="22"/>
      <c r="K31" s="22"/>
      <c r="L31" s="22"/>
      <c r="M31" s="22"/>
      <c r="N31" s="22"/>
      <c r="O31" s="22"/>
      <c r="P31" s="23"/>
    </row>
    <row r="32" customFormat="false" ht="15" hidden="false" customHeight="false" outlineLevel="0" collapsed="false">
      <c r="A32" s="18"/>
      <c r="B32" s="19"/>
      <c r="C32" s="19"/>
      <c r="D32" s="19"/>
      <c r="E32" s="19"/>
      <c r="F32" s="20"/>
      <c r="G32" s="21"/>
      <c r="H32" s="14" t="str">
        <f aca="false">IF(OR($A32="",$D32="",$E32="",$F32=""),"",IFERROR($A32&amp;" / "&amp;IF(AND($F32=1,$D32=$E32),INDEX(Listas!$I$5:$I$25,MATCH($E32,Listas!$H$5:$H$25,0)),INDEX(Listas!$I$5:$I$25,MATCH($E32,Listas!$H$5:$H$25,0))&amp;" X "&amp;TEXT($F32,"0.####")&amp;" "&amp;INDEX(Listas!$I$5:$I$25,MATCH($D32,Listas!$H$5:$H$25,0))),"⚠ revisar la unidad"))</f>
        <v/>
      </c>
      <c r="I32" s="15" t="str">
        <f aca="false">IF(OR($F32="",$G32="",$F32=0),"",$G32/$F32)</f>
        <v/>
      </c>
      <c r="J32" s="22"/>
      <c r="K32" s="22"/>
      <c r="L32" s="22"/>
      <c r="M32" s="22"/>
      <c r="N32" s="22"/>
      <c r="O32" s="22"/>
      <c r="P32" s="23"/>
    </row>
    <row r="33" customFormat="false" ht="15" hidden="false" customHeight="false" outlineLevel="0" collapsed="false">
      <c r="A33" s="18"/>
      <c r="B33" s="19"/>
      <c r="C33" s="19"/>
      <c r="D33" s="19"/>
      <c r="E33" s="19"/>
      <c r="F33" s="20"/>
      <c r="G33" s="21"/>
      <c r="H33" s="14" t="str">
        <f aca="false">IF(OR($A33="",$D33="",$E33="",$F33=""),"",IFERROR($A33&amp;" / "&amp;IF(AND($F33=1,$D33=$E33),INDEX(Listas!$I$5:$I$25,MATCH($E33,Listas!$H$5:$H$25,0)),INDEX(Listas!$I$5:$I$25,MATCH($E33,Listas!$H$5:$H$25,0))&amp;" X "&amp;TEXT($F33,"0.####")&amp;" "&amp;INDEX(Listas!$I$5:$I$25,MATCH($D33,Listas!$H$5:$H$25,0))),"⚠ revisar la unidad"))</f>
        <v/>
      </c>
      <c r="I33" s="15" t="str">
        <f aca="false">IF(OR($F33="",$G33="",$F33=0),"",$G33/$F33)</f>
        <v/>
      </c>
      <c r="J33" s="22"/>
      <c r="K33" s="22"/>
      <c r="L33" s="22"/>
      <c r="M33" s="22"/>
      <c r="N33" s="22"/>
      <c r="O33" s="22"/>
      <c r="P33" s="23"/>
    </row>
    <row r="34" customFormat="false" ht="15" hidden="false" customHeight="false" outlineLevel="0" collapsed="false">
      <c r="A34" s="18"/>
      <c r="B34" s="19"/>
      <c r="C34" s="19"/>
      <c r="D34" s="19"/>
      <c r="E34" s="19"/>
      <c r="F34" s="20"/>
      <c r="G34" s="21"/>
      <c r="H34" s="14" t="str">
        <f aca="false">IF(OR($A34="",$D34="",$E34="",$F34=""),"",IFERROR($A34&amp;" / "&amp;IF(AND($F34=1,$D34=$E34),INDEX(Listas!$I$5:$I$25,MATCH($E34,Listas!$H$5:$H$25,0)),INDEX(Listas!$I$5:$I$25,MATCH($E34,Listas!$H$5:$H$25,0))&amp;" X "&amp;TEXT($F34,"0.####")&amp;" "&amp;INDEX(Listas!$I$5:$I$25,MATCH($D34,Listas!$H$5:$H$25,0))),"⚠ revisar la unidad"))</f>
        <v/>
      </c>
      <c r="I34" s="15" t="str">
        <f aca="false">IF(OR($F34="",$G34="",$F34=0),"",$G34/$F34)</f>
        <v/>
      </c>
      <c r="J34" s="22"/>
      <c r="K34" s="22"/>
      <c r="L34" s="22"/>
      <c r="M34" s="22"/>
      <c r="N34" s="22"/>
      <c r="O34" s="22"/>
      <c r="P34" s="23"/>
    </row>
    <row r="35" customFormat="false" ht="15" hidden="false" customHeight="false" outlineLevel="0" collapsed="false">
      <c r="A35" s="18"/>
      <c r="B35" s="19"/>
      <c r="C35" s="19"/>
      <c r="D35" s="19"/>
      <c r="E35" s="19"/>
      <c r="F35" s="20"/>
      <c r="G35" s="21"/>
      <c r="H35" s="14" t="str">
        <f aca="false">IF(OR($A35="",$D35="",$E35="",$F35=""),"",IFERROR($A35&amp;" / "&amp;IF(AND($F35=1,$D35=$E35),INDEX(Listas!$I$5:$I$25,MATCH($E35,Listas!$H$5:$H$25,0)),INDEX(Listas!$I$5:$I$25,MATCH($E35,Listas!$H$5:$H$25,0))&amp;" X "&amp;TEXT($F35,"0.####")&amp;" "&amp;INDEX(Listas!$I$5:$I$25,MATCH($D35,Listas!$H$5:$H$25,0))),"⚠ revisar la unidad"))</f>
        <v/>
      </c>
      <c r="I35" s="15" t="str">
        <f aca="false">IF(OR($F35="",$G35="",$F35=0),"",$G35/$F35)</f>
        <v/>
      </c>
      <c r="J35" s="22"/>
      <c r="K35" s="22"/>
      <c r="L35" s="22"/>
      <c r="M35" s="22"/>
      <c r="N35" s="22"/>
      <c r="O35" s="22"/>
      <c r="P35" s="23"/>
    </row>
    <row r="36" customFormat="false" ht="15" hidden="false" customHeight="false" outlineLevel="0" collapsed="false">
      <c r="A36" s="18"/>
      <c r="B36" s="19"/>
      <c r="C36" s="19"/>
      <c r="D36" s="19"/>
      <c r="E36" s="19"/>
      <c r="F36" s="20"/>
      <c r="G36" s="21"/>
      <c r="H36" s="14" t="str">
        <f aca="false">IF(OR($A36="",$D36="",$E36="",$F36=""),"",IFERROR($A36&amp;" / "&amp;IF(AND($F36=1,$D36=$E36),INDEX(Listas!$I$5:$I$25,MATCH($E36,Listas!$H$5:$H$25,0)),INDEX(Listas!$I$5:$I$25,MATCH($E36,Listas!$H$5:$H$25,0))&amp;" X "&amp;TEXT($F36,"0.####")&amp;" "&amp;INDEX(Listas!$I$5:$I$25,MATCH($D36,Listas!$H$5:$H$25,0))),"⚠ revisar la unidad"))</f>
        <v/>
      </c>
      <c r="I36" s="15" t="str">
        <f aca="false">IF(OR($F36="",$G36="",$F36=0),"",$G36/$F36)</f>
        <v/>
      </c>
      <c r="J36" s="22"/>
      <c r="K36" s="22"/>
      <c r="L36" s="22"/>
      <c r="M36" s="22"/>
      <c r="N36" s="22"/>
      <c r="O36" s="22"/>
      <c r="P36" s="23"/>
    </row>
    <row r="37" customFormat="false" ht="15" hidden="false" customHeight="false" outlineLevel="0" collapsed="false">
      <c r="A37" s="18"/>
      <c r="B37" s="19"/>
      <c r="C37" s="19"/>
      <c r="D37" s="19"/>
      <c r="E37" s="19"/>
      <c r="F37" s="20"/>
      <c r="G37" s="21"/>
      <c r="H37" s="14" t="str">
        <f aca="false">IF(OR($A37="",$D37="",$E37="",$F37=""),"",IFERROR($A37&amp;" / "&amp;IF(AND($F37=1,$D37=$E37),INDEX(Listas!$I$5:$I$25,MATCH($E37,Listas!$H$5:$H$25,0)),INDEX(Listas!$I$5:$I$25,MATCH($E37,Listas!$H$5:$H$25,0))&amp;" X "&amp;TEXT($F37,"0.####")&amp;" "&amp;INDEX(Listas!$I$5:$I$25,MATCH($D37,Listas!$H$5:$H$25,0))),"⚠ revisar la unidad"))</f>
        <v/>
      </c>
      <c r="I37" s="15" t="str">
        <f aca="false">IF(OR($F37="",$G37="",$F37=0),"",$G37/$F37)</f>
        <v/>
      </c>
      <c r="J37" s="22"/>
      <c r="K37" s="22"/>
      <c r="L37" s="22"/>
      <c r="M37" s="22"/>
      <c r="N37" s="22"/>
      <c r="O37" s="22"/>
      <c r="P37" s="23"/>
    </row>
    <row r="38" customFormat="false" ht="15" hidden="false" customHeight="false" outlineLevel="0" collapsed="false">
      <c r="A38" s="18"/>
      <c r="B38" s="19"/>
      <c r="C38" s="19"/>
      <c r="D38" s="19"/>
      <c r="E38" s="19"/>
      <c r="F38" s="20"/>
      <c r="G38" s="21"/>
      <c r="H38" s="14" t="str">
        <f aca="false">IF(OR($A38="",$D38="",$E38="",$F38=""),"",IFERROR($A38&amp;" / "&amp;IF(AND($F38=1,$D38=$E38),INDEX(Listas!$I$5:$I$25,MATCH($E38,Listas!$H$5:$H$25,0)),INDEX(Listas!$I$5:$I$25,MATCH($E38,Listas!$H$5:$H$25,0))&amp;" X "&amp;TEXT($F38,"0.####")&amp;" "&amp;INDEX(Listas!$I$5:$I$25,MATCH($D38,Listas!$H$5:$H$25,0))),"⚠ revisar la unidad"))</f>
        <v/>
      </c>
      <c r="I38" s="15" t="str">
        <f aca="false">IF(OR($F38="",$G38="",$F38=0),"",$G38/$F38)</f>
        <v/>
      </c>
      <c r="J38" s="22"/>
      <c r="K38" s="22"/>
      <c r="L38" s="22"/>
      <c r="M38" s="22"/>
      <c r="N38" s="22"/>
      <c r="O38" s="22"/>
      <c r="P38" s="23"/>
    </row>
    <row r="39" customFormat="false" ht="15" hidden="false" customHeight="false" outlineLevel="0" collapsed="false">
      <c r="A39" s="18"/>
      <c r="B39" s="19"/>
      <c r="C39" s="19"/>
      <c r="D39" s="19"/>
      <c r="E39" s="19"/>
      <c r="F39" s="20"/>
      <c r="G39" s="21"/>
      <c r="H39" s="14" t="str">
        <f aca="false">IF(OR($A39="",$D39="",$E39="",$F39=""),"",IFERROR($A39&amp;" / "&amp;IF(AND($F39=1,$D39=$E39),INDEX(Listas!$I$5:$I$25,MATCH($E39,Listas!$H$5:$H$25,0)),INDEX(Listas!$I$5:$I$25,MATCH($E39,Listas!$H$5:$H$25,0))&amp;" X "&amp;TEXT($F39,"0.####")&amp;" "&amp;INDEX(Listas!$I$5:$I$25,MATCH($D39,Listas!$H$5:$H$25,0))),"⚠ revisar la unidad"))</f>
        <v/>
      </c>
      <c r="I39" s="15" t="str">
        <f aca="false">IF(OR($F39="",$G39="",$F39=0),"",$G39/$F39)</f>
        <v/>
      </c>
      <c r="J39" s="22"/>
      <c r="K39" s="22"/>
      <c r="L39" s="22"/>
      <c r="M39" s="22"/>
      <c r="N39" s="22"/>
      <c r="O39" s="22"/>
      <c r="P39" s="23"/>
    </row>
    <row r="40" customFormat="false" ht="15" hidden="false" customHeight="false" outlineLevel="0" collapsed="false">
      <c r="A40" s="18"/>
      <c r="B40" s="19"/>
      <c r="C40" s="19"/>
      <c r="D40" s="19"/>
      <c r="E40" s="19"/>
      <c r="F40" s="20"/>
      <c r="G40" s="21"/>
      <c r="H40" s="14" t="str">
        <f aca="false">IF(OR($A40="",$D40="",$E40="",$F40=""),"",IFERROR($A40&amp;" / "&amp;IF(AND($F40=1,$D40=$E40),INDEX(Listas!$I$5:$I$25,MATCH($E40,Listas!$H$5:$H$25,0)),INDEX(Listas!$I$5:$I$25,MATCH($E40,Listas!$H$5:$H$25,0))&amp;" X "&amp;TEXT($F40,"0.####")&amp;" "&amp;INDEX(Listas!$I$5:$I$25,MATCH($D40,Listas!$H$5:$H$25,0))),"⚠ revisar la unidad"))</f>
        <v/>
      </c>
      <c r="I40" s="15" t="str">
        <f aca="false">IF(OR($F40="",$G40="",$F40=0),"",$G40/$F40)</f>
        <v/>
      </c>
      <c r="J40" s="22"/>
      <c r="K40" s="22"/>
      <c r="L40" s="22"/>
      <c r="M40" s="22"/>
      <c r="N40" s="22"/>
      <c r="O40" s="22"/>
      <c r="P40" s="23"/>
    </row>
    <row r="41" customFormat="false" ht="15" hidden="false" customHeight="false" outlineLevel="0" collapsed="false">
      <c r="A41" s="18"/>
      <c r="B41" s="19"/>
      <c r="C41" s="19"/>
      <c r="D41" s="19"/>
      <c r="E41" s="19"/>
      <c r="F41" s="20"/>
      <c r="G41" s="21"/>
      <c r="H41" s="14" t="str">
        <f aca="false">IF(OR($A41="",$D41="",$E41="",$F41=""),"",IFERROR($A41&amp;" / "&amp;IF(AND($F41=1,$D41=$E41),INDEX(Listas!$I$5:$I$25,MATCH($E41,Listas!$H$5:$H$25,0)),INDEX(Listas!$I$5:$I$25,MATCH($E41,Listas!$H$5:$H$25,0))&amp;" X "&amp;TEXT($F41,"0.####")&amp;" "&amp;INDEX(Listas!$I$5:$I$25,MATCH($D41,Listas!$H$5:$H$25,0))),"⚠ revisar la unidad"))</f>
        <v/>
      </c>
      <c r="I41" s="15" t="str">
        <f aca="false">IF(OR($F41="",$G41="",$F41=0),"",$G41/$F41)</f>
        <v/>
      </c>
      <c r="J41" s="22"/>
      <c r="K41" s="22"/>
      <c r="L41" s="22"/>
      <c r="M41" s="22"/>
      <c r="N41" s="22"/>
      <c r="O41" s="22"/>
      <c r="P41" s="23"/>
    </row>
    <row r="42" customFormat="false" ht="15" hidden="false" customHeight="false" outlineLevel="0" collapsed="false">
      <c r="A42" s="18"/>
      <c r="B42" s="19"/>
      <c r="C42" s="19"/>
      <c r="D42" s="19"/>
      <c r="E42" s="19"/>
      <c r="F42" s="20"/>
      <c r="G42" s="21"/>
      <c r="H42" s="14" t="str">
        <f aca="false">IF(OR($A42="",$D42="",$E42="",$F42=""),"",IFERROR($A42&amp;" / "&amp;IF(AND($F42=1,$D42=$E42),INDEX(Listas!$I$5:$I$25,MATCH($E42,Listas!$H$5:$H$25,0)),INDEX(Listas!$I$5:$I$25,MATCH($E42,Listas!$H$5:$H$25,0))&amp;" X "&amp;TEXT($F42,"0.####")&amp;" "&amp;INDEX(Listas!$I$5:$I$25,MATCH($D42,Listas!$H$5:$H$25,0))),"⚠ revisar la unidad"))</f>
        <v/>
      </c>
      <c r="I42" s="15" t="str">
        <f aca="false">IF(OR($F42="",$G42="",$F42=0),"",$G42/$F42)</f>
        <v/>
      </c>
      <c r="J42" s="22"/>
      <c r="K42" s="22"/>
      <c r="L42" s="22"/>
      <c r="M42" s="22"/>
      <c r="N42" s="22"/>
      <c r="O42" s="22"/>
      <c r="P42" s="23"/>
    </row>
    <row r="43" customFormat="false" ht="15" hidden="false" customHeight="false" outlineLevel="0" collapsed="false">
      <c r="A43" s="18"/>
      <c r="B43" s="19"/>
      <c r="C43" s="19"/>
      <c r="D43" s="19"/>
      <c r="E43" s="19"/>
      <c r="F43" s="20"/>
      <c r="G43" s="21"/>
      <c r="H43" s="14" t="str">
        <f aca="false">IF(OR($A43="",$D43="",$E43="",$F43=""),"",IFERROR($A43&amp;" / "&amp;IF(AND($F43=1,$D43=$E43),INDEX(Listas!$I$5:$I$25,MATCH($E43,Listas!$H$5:$H$25,0)),INDEX(Listas!$I$5:$I$25,MATCH($E43,Listas!$H$5:$H$25,0))&amp;" X "&amp;TEXT($F43,"0.####")&amp;" "&amp;INDEX(Listas!$I$5:$I$25,MATCH($D43,Listas!$H$5:$H$25,0))),"⚠ revisar la unidad"))</f>
        <v/>
      </c>
      <c r="I43" s="15" t="str">
        <f aca="false">IF(OR($F43="",$G43="",$F43=0),"",$G43/$F43)</f>
        <v/>
      </c>
      <c r="J43" s="22"/>
      <c r="K43" s="22"/>
      <c r="L43" s="22"/>
      <c r="M43" s="22"/>
      <c r="N43" s="22"/>
      <c r="O43" s="22"/>
      <c r="P43" s="23"/>
    </row>
    <row r="44" customFormat="false" ht="15" hidden="false" customHeight="false" outlineLevel="0" collapsed="false">
      <c r="A44" s="18"/>
      <c r="B44" s="19"/>
      <c r="C44" s="19"/>
      <c r="D44" s="19"/>
      <c r="E44" s="19"/>
      <c r="F44" s="20"/>
      <c r="G44" s="21"/>
      <c r="H44" s="14" t="str">
        <f aca="false">IF(OR($A44="",$D44="",$E44="",$F44=""),"",IFERROR($A44&amp;" / "&amp;IF(AND($F44=1,$D44=$E44),INDEX(Listas!$I$5:$I$25,MATCH($E44,Listas!$H$5:$H$25,0)),INDEX(Listas!$I$5:$I$25,MATCH($E44,Listas!$H$5:$H$25,0))&amp;" X "&amp;TEXT($F44,"0.####")&amp;" "&amp;INDEX(Listas!$I$5:$I$25,MATCH($D44,Listas!$H$5:$H$25,0))),"⚠ revisar la unidad"))</f>
        <v/>
      </c>
      <c r="I44" s="15" t="str">
        <f aca="false">IF(OR($F44="",$G44="",$F44=0),"",$G44/$F44)</f>
        <v/>
      </c>
      <c r="J44" s="22"/>
      <c r="K44" s="22"/>
      <c r="L44" s="22"/>
      <c r="M44" s="22"/>
      <c r="N44" s="22"/>
      <c r="O44" s="22"/>
      <c r="P44" s="23"/>
    </row>
    <row r="45" customFormat="false" ht="15" hidden="false" customHeight="false" outlineLevel="0" collapsed="false">
      <c r="A45" s="18"/>
      <c r="B45" s="19"/>
      <c r="C45" s="19"/>
      <c r="D45" s="19"/>
      <c r="E45" s="19"/>
      <c r="F45" s="20"/>
      <c r="G45" s="21"/>
      <c r="H45" s="14" t="str">
        <f aca="false">IF(OR($A45="",$D45="",$E45="",$F45=""),"",IFERROR($A45&amp;" / "&amp;IF(AND($F45=1,$D45=$E45),INDEX(Listas!$I$5:$I$25,MATCH($E45,Listas!$H$5:$H$25,0)),INDEX(Listas!$I$5:$I$25,MATCH($E45,Listas!$H$5:$H$25,0))&amp;" X "&amp;TEXT($F45,"0.####")&amp;" "&amp;INDEX(Listas!$I$5:$I$25,MATCH($D45,Listas!$H$5:$H$25,0))),"⚠ revisar la unidad"))</f>
        <v/>
      </c>
      <c r="I45" s="15" t="str">
        <f aca="false">IF(OR($F45="",$G45="",$F45=0),"",$G45/$F45)</f>
        <v/>
      </c>
      <c r="J45" s="22"/>
      <c r="K45" s="22"/>
      <c r="L45" s="22"/>
      <c r="M45" s="22"/>
      <c r="N45" s="22"/>
      <c r="O45" s="22"/>
      <c r="P45" s="23"/>
    </row>
    <row r="46" customFormat="false" ht="15" hidden="false" customHeight="false" outlineLevel="0" collapsed="false">
      <c r="A46" s="18"/>
      <c r="B46" s="19"/>
      <c r="C46" s="19"/>
      <c r="D46" s="19"/>
      <c r="E46" s="19"/>
      <c r="F46" s="20"/>
      <c r="G46" s="21"/>
      <c r="H46" s="14" t="str">
        <f aca="false">IF(OR($A46="",$D46="",$E46="",$F46=""),"",IFERROR($A46&amp;" / "&amp;IF(AND($F46=1,$D46=$E46),INDEX(Listas!$I$5:$I$25,MATCH($E46,Listas!$H$5:$H$25,0)),INDEX(Listas!$I$5:$I$25,MATCH($E46,Listas!$H$5:$H$25,0))&amp;" X "&amp;TEXT($F46,"0.####")&amp;" "&amp;INDEX(Listas!$I$5:$I$25,MATCH($D46,Listas!$H$5:$H$25,0))),"⚠ revisar la unidad"))</f>
        <v/>
      </c>
      <c r="I46" s="15" t="str">
        <f aca="false">IF(OR($F46="",$G46="",$F46=0),"",$G46/$F46)</f>
        <v/>
      </c>
      <c r="J46" s="22"/>
      <c r="K46" s="22"/>
      <c r="L46" s="22"/>
      <c r="M46" s="22"/>
      <c r="N46" s="22"/>
      <c r="O46" s="22"/>
      <c r="P46" s="23"/>
    </row>
    <row r="47" customFormat="false" ht="15" hidden="false" customHeight="false" outlineLevel="0" collapsed="false">
      <c r="A47" s="18"/>
      <c r="B47" s="19"/>
      <c r="C47" s="19"/>
      <c r="D47" s="19"/>
      <c r="E47" s="19"/>
      <c r="F47" s="20"/>
      <c r="G47" s="21"/>
      <c r="H47" s="14" t="str">
        <f aca="false">IF(OR($A47="",$D47="",$E47="",$F47=""),"",IFERROR($A47&amp;" / "&amp;IF(AND($F47=1,$D47=$E47),INDEX(Listas!$I$5:$I$25,MATCH($E47,Listas!$H$5:$H$25,0)),INDEX(Listas!$I$5:$I$25,MATCH($E47,Listas!$H$5:$H$25,0))&amp;" X "&amp;TEXT($F47,"0.####")&amp;" "&amp;INDEX(Listas!$I$5:$I$25,MATCH($D47,Listas!$H$5:$H$25,0))),"⚠ revisar la unidad"))</f>
        <v/>
      </c>
      <c r="I47" s="15" t="str">
        <f aca="false">IF(OR($F47="",$G47="",$F47=0),"",$G47/$F47)</f>
        <v/>
      </c>
      <c r="J47" s="22"/>
      <c r="K47" s="22"/>
      <c r="L47" s="22"/>
      <c r="M47" s="22"/>
      <c r="N47" s="22"/>
      <c r="O47" s="22"/>
      <c r="P47" s="23"/>
    </row>
    <row r="48" customFormat="false" ht="15" hidden="false" customHeight="false" outlineLevel="0" collapsed="false">
      <c r="A48" s="18"/>
      <c r="B48" s="19"/>
      <c r="C48" s="19"/>
      <c r="D48" s="19"/>
      <c r="E48" s="19"/>
      <c r="F48" s="20"/>
      <c r="G48" s="21"/>
      <c r="H48" s="14" t="str">
        <f aca="false">IF(OR($A48="",$D48="",$E48="",$F48=""),"",IFERROR($A48&amp;" / "&amp;IF(AND($F48=1,$D48=$E48),INDEX(Listas!$I$5:$I$25,MATCH($E48,Listas!$H$5:$H$25,0)),INDEX(Listas!$I$5:$I$25,MATCH($E48,Listas!$H$5:$H$25,0))&amp;" X "&amp;TEXT($F48,"0.####")&amp;" "&amp;INDEX(Listas!$I$5:$I$25,MATCH($D48,Listas!$H$5:$H$25,0))),"⚠ revisar la unidad"))</f>
        <v/>
      </c>
      <c r="I48" s="15" t="str">
        <f aca="false">IF(OR($F48="",$G48="",$F48=0),"",$G48/$F48)</f>
        <v/>
      </c>
      <c r="J48" s="22"/>
      <c r="K48" s="22"/>
      <c r="L48" s="22"/>
      <c r="M48" s="22"/>
      <c r="N48" s="22"/>
      <c r="O48" s="22"/>
      <c r="P48" s="23"/>
    </row>
    <row r="49" customFormat="false" ht="15" hidden="false" customHeight="false" outlineLevel="0" collapsed="false">
      <c r="A49" s="18"/>
      <c r="B49" s="19"/>
      <c r="C49" s="19"/>
      <c r="D49" s="19"/>
      <c r="E49" s="19"/>
      <c r="F49" s="20"/>
      <c r="G49" s="21"/>
      <c r="H49" s="14" t="str">
        <f aca="false">IF(OR($A49="",$D49="",$E49="",$F49=""),"",IFERROR($A49&amp;" / "&amp;IF(AND($F49=1,$D49=$E49),INDEX(Listas!$I$5:$I$25,MATCH($E49,Listas!$H$5:$H$25,0)),INDEX(Listas!$I$5:$I$25,MATCH($E49,Listas!$H$5:$H$25,0))&amp;" X "&amp;TEXT($F49,"0.####")&amp;" "&amp;INDEX(Listas!$I$5:$I$25,MATCH($D49,Listas!$H$5:$H$25,0))),"⚠ revisar la unidad"))</f>
        <v/>
      </c>
      <c r="I49" s="15" t="str">
        <f aca="false">IF(OR($F49="",$G49="",$F49=0),"",$G49/$F49)</f>
        <v/>
      </c>
      <c r="J49" s="22"/>
      <c r="K49" s="22"/>
      <c r="L49" s="22"/>
      <c r="M49" s="22"/>
      <c r="N49" s="22"/>
      <c r="O49" s="22"/>
      <c r="P49" s="23"/>
    </row>
    <row r="50" customFormat="false" ht="15" hidden="false" customHeight="false" outlineLevel="0" collapsed="false">
      <c r="A50" s="18"/>
      <c r="B50" s="19"/>
      <c r="C50" s="19"/>
      <c r="D50" s="19"/>
      <c r="E50" s="19"/>
      <c r="F50" s="20"/>
      <c r="G50" s="21"/>
      <c r="H50" s="14" t="str">
        <f aca="false">IF(OR($A50="",$D50="",$E50="",$F50=""),"",IFERROR($A50&amp;" / "&amp;IF(AND($F50=1,$D50=$E50),INDEX(Listas!$I$5:$I$25,MATCH($E50,Listas!$H$5:$H$25,0)),INDEX(Listas!$I$5:$I$25,MATCH($E50,Listas!$H$5:$H$25,0))&amp;" X "&amp;TEXT($F50,"0.####")&amp;" "&amp;INDEX(Listas!$I$5:$I$25,MATCH($D50,Listas!$H$5:$H$25,0))),"⚠ revisar la unidad"))</f>
        <v/>
      </c>
      <c r="I50" s="15" t="str">
        <f aca="false">IF(OR($F50="",$G50="",$F50=0),"",$G50/$F50)</f>
        <v/>
      </c>
      <c r="J50" s="22"/>
      <c r="K50" s="22"/>
      <c r="L50" s="22"/>
      <c r="M50" s="22"/>
      <c r="N50" s="22"/>
      <c r="O50" s="22"/>
      <c r="P50" s="23"/>
    </row>
    <row r="51" customFormat="false" ht="15" hidden="false" customHeight="false" outlineLevel="0" collapsed="false">
      <c r="A51" s="18"/>
      <c r="B51" s="19"/>
      <c r="C51" s="19"/>
      <c r="D51" s="19"/>
      <c r="E51" s="19"/>
      <c r="F51" s="20"/>
      <c r="G51" s="21"/>
      <c r="H51" s="14" t="str">
        <f aca="false">IF(OR($A51="",$D51="",$E51="",$F51=""),"",IFERROR($A51&amp;" / "&amp;IF(AND($F51=1,$D51=$E51),INDEX(Listas!$I$5:$I$25,MATCH($E51,Listas!$H$5:$H$25,0)),INDEX(Listas!$I$5:$I$25,MATCH($E51,Listas!$H$5:$H$25,0))&amp;" X "&amp;TEXT($F51,"0.####")&amp;" "&amp;INDEX(Listas!$I$5:$I$25,MATCH($D51,Listas!$H$5:$H$25,0))),"⚠ revisar la unidad"))</f>
        <v/>
      </c>
      <c r="I51" s="15" t="str">
        <f aca="false">IF(OR($F51="",$G51="",$F51=0),"",$G51/$F51)</f>
        <v/>
      </c>
      <c r="J51" s="22"/>
      <c r="K51" s="22"/>
      <c r="L51" s="22"/>
      <c r="M51" s="22"/>
      <c r="N51" s="22"/>
      <c r="O51" s="22"/>
      <c r="P51" s="23"/>
    </row>
    <row r="52" customFormat="false" ht="15" hidden="false" customHeight="false" outlineLevel="0" collapsed="false">
      <c r="A52" s="18"/>
      <c r="B52" s="19"/>
      <c r="C52" s="19"/>
      <c r="D52" s="19"/>
      <c r="E52" s="19"/>
      <c r="F52" s="20"/>
      <c r="G52" s="21"/>
      <c r="H52" s="14" t="str">
        <f aca="false">IF(OR($A52="",$D52="",$E52="",$F52=""),"",IFERROR($A52&amp;" / "&amp;IF(AND($F52=1,$D52=$E52),INDEX(Listas!$I$5:$I$25,MATCH($E52,Listas!$H$5:$H$25,0)),INDEX(Listas!$I$5:$I$25,MATCH($E52,Listas!$H$5:$H$25,0))&amp;" X "&amp;TEXT($F52,"0.####")&amp;" "&amp;INDEX(Listas!$I$5:$I$25,MATCH($D52,Listas!$H$5:$H$25,0))),"⚠ revisar la unidad"))</f>
        <v/>
      </c>
      <c r="I52" s="15" t="str">
        <f aca="false">IF(OR($F52="",$G52="",$F52=0),"",$G52/$F52)</f>
        <v/>
      </c>
      <c r="J52" s="22"/>
      <c r="K52" s="22"/>
      <c r="L52" s="22"/>
      <c r="M52" s="22"/>
      <c r="N52" s="22"/>
      <c r="O52" s="22"/>
      <c r="P52" s="23"/>
    </row>
    <row r="53" customFormat="false" ht="15" hidden="false" customHeight="false" outlineLevel="0" collapsed="false">
      <c r="A53" s="18"/>
      <c r="B53" s="19"/>
      <c r="C53" s="19"/>
      <c r="D53" s="19"/>
      <c r="E53" s="19"/>
      <c r="F53" s="20"/>
      <c r="G53" s="21"/>
      <c r="H53" s="14" t="str">
        <f aca="false">IF(OR($A53="",$D53="",$E53="",$F53=""),"",IFERROR($A53&amp;" / "&amp;IF(AND($F53=1,$D53=$E53),INDEX(Listas!$I$5:$I$25,MATCH($E53,Listas!$H$5:$H$25,0)),INDEX(Listas!$I$5:$I$25,MATCH($E53,Listas!$H$5:$H$25,0))&amp;" X "&amp;TEXT($F53,"0.####")&amp;" "&amp;INDEX(Listas!$I$5:$I$25,MATCH($D53,Listas!$H$5:$H$25,0))),"⚠ revisar la unidad"))</f>
        <v/>
      </c>
      <c r="I53" s="15" t="str">
        <f aca="false">IF(OR($F53="",$G53="",$F53=0),"",$G53/$F53)</f>
        <v/>
      </c>
      <c r="J53" s="22"/>
      <c r="K53" s="22"/>
      <c r="L53" s="22"/>
      <c r="M53" s="22"/>
      <c r="N53" s="22"/>
      <c r="O53" s="22"/>
      <c r="P53" s="23"/>
    </row>
    <row r="54" customFormat="false" ht="15" hidden="false" customHeight="false" outlineLevel="0" collapsed="false">
      <c r="A54" s="18"/>
      <c r="B54" s="19"/>
      <c r="C54" s="19"/>
      <c r="D54" s="19"/>
      <c r="E54" s="19"/>
      <c r="F54" s="20"/>
      <c r="G54" s="21"/>
      <c r="H54" s="14" t="str">
        <f aca="false">IF(OR($A54="",$D54="",$E54="",$F54=""),"",IFERROR($A54&amp;" / "&amp;IF(AND($F54=1,$D54=$E54),INDEX(Listas!$I$5:$I$25,MATCH($E54,Listas!$H$5:$H$25,0)),INDEX(Listas!$I$5:$I$25,MATCH($E54,Listas!$H$5:$H$25,0))&amp;" X "&amp;TEXT($F54,"0.####")&amp;" "&amp;INDEX(Listas!$I$5:$I$25,MATCH($D54,Listas!$H$5:$H$25,0))),"⚠ revisar la unidad"))</f>
        <v/>
      </c>
      <c r="I54" s="15" t="str">
        <f aca="false">IF(OR($F54="",$G54="",$F54=0),"",$G54/$F54)</f>
        <v/>
      </c>
      <c r="J54" s="22"/>
      <c r="K54" s="22"/>
      <c r="L54" s="22"/>
      <c r="M54" s="22"/>
      <c r="N54" s="22"/>
      <c r="O54" s="22"/>
      <c r="P54" s="23"/>
    </row>
    <row r="55" customFormat="false" ht="15" hidden="false" customHeight="false" outlineLevel="0" collapsed="false">
      <c r="A55" s="18"/>
      <c r="B55" s="19"/>
      <c r="C55" s="19"/>
      <c r="D55" s="19"/>
      <c r="E55" s="19"/>
      <c r="F55" s="20"/>
      <c r="G55" s="21"/>
      <c r="H55" s="14" t="str">
        <f aca="false">IF(OR($A55="",$D55="",$E55="",$F55=""),"",IFERROR($A55&amp;" / "&amp;IF(AND($F55=1,$D55=$E55),INDEX(Listas!$I$5:$I$25,MATCH($E55,Listas!$H$5:$H$25,0)),INDEX(Listas!$I$5:$I$25,MATCH($E55,Listas!$H$5:$H$25,0))&amp;" X "&amp;TEXT($F55,"0.####")&amp;" "&amp;INDEX(Listas!$I$5:$I$25,MATCH($D55,Listas!$H$5:$H$25,0))),"⚠ revisar la unidad"))</f>
        <v/>
      </c>
      <c r="I55" s="15" t="str">
        <f aca="false">IF(OR($F55="",$G55="",$F55=0),"",$G55/$F55)</f>
        <v/>
      </c>
      <c r="J55" s="22"/>
      <c r="K55" s="22"/>
      <c r="L55" s="22"/>
      <c r="M55" s="22"/>
      <c r="N55" s="22"/>
      <c r="O55" s="22"/>
      <c r="P55" s="23"/>
    </row>
    <row r="56" customFormat="false" ht="15" hidden="false" customHeight="false" outlineLevel="0" collapsed="false">
      <c r="A56" s="18"/>
      <c r="B56" s="19"/>
      <c r="C56" s="19"/>
      <c r="D56" s="19"/>
      <c r="E56" s="19"/>
      <c r="F56" s="20"/>
      <c r="G56" s="21"/>
      <c r="H56" s="14" t="str">
        <f aca="false">IF(OR($A56="",$D56="",$E56="",$F56=""),"",IFERROR($A56&amp;" / "&amp;IF(AND($F56=1,$D56=$E56),INDEX(Listas!$I$5:$I$25,MATCH($E56,Listas!$H$5:$H$25,0)),INDEX(Listas!$I$5:$I$25,MATCH($E56,Listas!$H$5:$H$25,0))&amp;" X "&amp;TEXT($F56,"0.####")&amp;" "&amp;INDEX(Listas!$I$5:$I$25,MATCH($D56,Listas!$H$5:$H$25,0))),"⚠ revisar la unidad"))</f>
        <v/>
      </c>
      <c r="I56" s="15" t="str">
        <f aca="false">IF(OR($F56="",$G56="",$F56=0),"",$G56/$F56)</f>
        <v/>
      </c>
      <c r="J56" s="22"/>
      <c r="K56" s="22"/>
      <c r="L56" s="22"/>
      <c r="M56" s="22"/>
      <c r="N56" s="22"/>
      <c r="O56" s="22"/>
      <c r="P56" s="23"/>
    </row>
    <row r="57" customFormat="false" ht="15" hidden="false" customHeight="false" outlineLevel="0" collapsed="false">
      <c r="A57" s="18"/>
      <c r="B57" s="19"/>
      <c r="C57" s="19"/>
      <c r="D57" s="19"/>
      <c r="E57" s="19"/>
      <c r="F57" s="20"/>
      <c r="G57" s="21"/>
      <c r="H57" s="14" t="str">
        <f aca="false">IF(OR($A57="",$D57="",$E57="",$F57=""),"",IFERROR($A57&amp;" / "&amp;IF(AND($F57=1,$D57=$E57),INDEX(Listas!$I$5:$I$25,MATCH($E57,Listas!$H$5:$H$25,0)),INDEX(Listas!$I$5:$I$25,MATCH($E57,Listas!$H$5:$H$25,0))&amp;" X "&amp;TEXT($F57,"0.####")&amp;" "&amp;INDEX(Listas!$I$5:$I$25,MATCH($D57,Listas!$H$5:$H$25,0))),"⚠ revisar la unidad"))</f>
        <v/>
      </c>
      <c r="I57" s="15" t="str">
        <f aca="false">IF(OR($F57="",$G57="",$F57=0),"",$G57/$F57)</f>
        <v/>
      </c>
      <c r="J57" s="22"/>
      <c r="K57" s="22"/>
      <c r="L57" s="22"/>
      <c r="M57" s="22"/>
      <c r="N57" s="22"/>
      <c r="O57" s="22"/>
      <c r="P57" s="23"/>
    </row>
    <row r="58" customFormat="false" ht="15" hidden="false" customHeight="false" outlineLevel="0" collapsed="false">
      <c r="A58" s="18"/>
      <c r="B58" s="19"/>
      <c r="C58" s="19"/>
      <c r="D58" s="19"/>
      <c r="E58" s="19"/>
      <c r="F58" s="20"/>
      <c r="G58" s="21"/>
      <c r="H58" s="14" t="str">
        <f aca="false">IF(OR($A58="",$D58="",$E58="",$F58=""),"",IFERROR($A58&amp;" / "&amp;IF(AND($F58=1,$D58=$E58),INDEX(Listas!$I$5:$I$25,MATCH($E58,Listas!$H$5:$H$25,0)),INDEX(Listas!$I$5:$I$25,MATCH($E58,Listas!$H$5:$H$25,0))&amp;" X "&amp;TEXT($F58,"0.####")&amp;" "&amp;INDEX(Listas!$I$5:$I$25,MATCH($D58,Listas!$H$5:$H$25,0))),"⚠ revisar la unidad"))</f>
        <v/>
      </c>
      <c r="I58" s="15" t="str">
        <f aca="false">IF(OR($F58="",$G58="",$F58=0),"",$G58/$F58)</f>
        <v/>
      </c>
      <c r="J58" s="22"/>
      <c r="K58" s="22"/>
      <c r="L58" s="22"/>
      <c r="M58" s="22"/>
      <c r="N58" s="22"/>
      <c r="O58" s="22"/>
      <c r="P58" s="23"/>
    </row>
    <row r="59" customFormat="false" ht="15" hidden="false" customHeight="false" outlineLevel="0" collapsed="false">
      <c r="A59" s="18"/>
      <c r="B59" s="19"/>
      <c r="C59" s="19"/>
      <c r="D59" s="19"/>
      <c r="E59" s="19"/>
      <c r="F59" s="20"/>
      <c r="G59" s="21"/>
      <c r="H59" s="14" t="str">
        <f aca="false">IF(OR($A59="",$D59="",$E59="",$F59=""),"",IFERROR($A59&amp;" / "&amp;IF(AND($F59=1,$D59=$E59),INDEX(Listas!$I$5:$I$25,MATCH($E59,Listas!$H$5:$H$25,0)),INDEX(Listas!$I$5:$I$25,MATCH($E59,Listas!$H$5:$H$25,0))&amp;" X "&amp;TEXT($F59,"0.####")&amp;" "&amp;INDEX(Listas!$I$5:$I$25,MATCH($D59,Listas!$H$5:$H$25,0))),"⚠ revisar la unidad"))</f>
        <v/>
      </c>
      <c r="I59" s="15" t="str">
        <f aca="false">IF(OR($F59="",$G59="",$F59=0),"",$G59/$F59)</f>
        <v/>
      </c>
      <c r="J59" s="22"/>
      <c r="K59" s="22"/>
      <c r="L59" s="22"/>
      <c r="M59" s="22"/>
      <c r="N59" s="22"/>
      <c r="O59" s="22"/>
      <c r="P59" s="23"/>
    </row>
    <row r="60" customFormat="false" ht="15" hidden="false" customHeight="false" outlineLevel="0" collapsed="false">
      <c r="A60" s="18"/>
      <c r="B60" s="19"/>
      <c r="C60" s="19"/>
      <c r="D60" s="19"/>
      <c r="E60" s="19"/>
      <c r="F60" s="20"/>
      <c r="G60" s="21"/>
      <c r="H60" s="14" t="str">
        <f aca="false">IF(OR($A60="",$D60="",$E60="",$F60=""),"",IFERROR($A60&amp;" / "&amp;IF(AND($F60=1,$D60=$E60),INDEX(Listas!$I$5:$I$25,MATCH($E60,Listas!$H$5:$H$25,0)),INDEX(Listas!$I$5:$I$25,MATCH($E60,Listas!$H$5:$H$25,0))&amp;" X "&amp;TEXT($F60,"0.####")&amp;" "&amp;INDEX(Listas!$I$5:$I$25,MATCH($D60,Listas!$H$5:$H$25,0))),"⚠ revisar la unidad"))</f>
        <v/>
      </c>
      <c r="I60" s="15" t="str">
        <f aca="false">IF(OR($F60="",$G60="",$F60=0),"",$G60/$F60)</f>
        <v/>
      </c>
      <c r="J60" s="22"/>
      <c r="K60" s="22"/>
      <c r="L60" s="22"/>
      <c r="M60" s="22"/>
      <c r="N60" s="22"/>
      <c r="O60" s="22"/>
      <c r="P60" s="23"/>
    </row>
    <row r="61" customFormat="false" ht="15" hidden="false" customHeight="false" outlineLevel="0" collapsed="false">
      <c r="A61" s="18"/>
      <c r="B61" s="19"/>
      <c r="C61" s="19"/>
      <c r="D61" s="19"/>
      <c r="E61" s="19"/>
      <c r="F61" s="20"/>
      <c r="G61" s="21"/>
      <c r="H61" s="14" t="str">
        <f aca="false">IF(OR($A61="",$D61="",$E61="",$F61=""),"",IFERROR($A61&amp;" / "&amp;IF(AND($F61=1,$D61=$E61),INDEX(Listas!$I$5:$I$25,MATCH($E61,Listas!$H$5:$H$25,0)),INDEX(Listas!$I$5:$I$25,MATCH($E61,Listas!$H$5:$H$25,0))&amp;" X "&amp;TEXT($F61,"0.####")&amp;" "&amp;INDEX(Listas!$I$5:$I$25,MATCH($D61,Listas!$H$5:$H$25,0))),"⚠ revisar la unidad"))</f>
        <v/>
      </c>
      <c r="I61" s="15" t="str">
        <f aca="false">IF(OR($F61="",$G61="",$F61=0),"",$G61/$F61)</f>
        <v/>
      </c>
      <c r="J61" s="22"/>
      <c r="K61" s="22"/>
      <c r="L61" s="22"/>
      <c r="M61" s="22"/>
      <c r="N61" s="22"/>
      <c r="O61" s="22"/>
      <c r="P61" s="23"/>
    </row>
    <row r="62" customFormat="false" ht="15" hidden="false" customHeight="false" outlineLevel="0" collapsed="false">
      <c r="A62" s="18"/>
      <c r="B62" s="19"/>
      <c r="C62" s="19"/>
      <c r="D62" s="19"/>
      <c r="E62" s="19"/>
      <c r="F62" s="20"/>
      <c r="G62" s="21"/>
      <c r="H62" s="14" t="str">
        <f aca="false">IF(OR($A62="",$D62="",$E62="",$F62=""),"",IFERROR($A62&amp;" / "&amp;IF(AND($F62=1,$D62=$E62),INDEX(Listas!$I$5:$I$25,MATCH($E62,Listas!$H$5:$H$25,0)),INDEX(Listas!$I$5:$I$25,MATCH($E62,Listas!$H$5:$H$25,0))&amp;" X "&amp;TEXT($F62,"0.####")&amp;" "&amp;INDEX(Listas!$I$5:$I$25,MATCH($D62,Listas!$H$5:$H$25,0))),"⚠ revisar la unidad"))</f>
        <v/>
      </c>
      <c r="I62" s="15" t="str">
        <f aca="false">IF(OR($F62="",$G62="",$F62=0),"",$G62/$F62)</f>
        <v/>
      </c>
      <c r="J62" s="22"/>
      <c r="K62" s="22"/>
      <c r="L62" s="22"/>
      <c r="M62" s="22"/>
      <c r="N62" s="22"/>
      <c r="O62" s="22"/>
      <c r="P62" s="23"/>
    </row>
    <row r="63" customFormat="false" ht="15" hidden="false" customHeight="false" outlineLevel="0" collapsed="false">
      <c r="A63" s="18"/>
      <c r="B63" s="19"/>
      <c r="C63" s="19"/>
      <c r="D63" s="19"/>
      <c r="E63" s="19"/>
      <c r="F63" s="20"/>
      <c r="G63" s="21"/>
      <c r="H63" s="14" t="str">
        <f aca="false">IF(OR($A63="",$D63="",$E63="",$F63=""),"",IFERROR($A63&amp;" / "&amp;IF(AND($F63=1,$D63=$E63),INDEX(Listas!$I$5:$I$25,MATCH($E63,Listas!$H$5:$H$25,0)),INDEX(Listas!$I$5:$I$25,MATCH($E63,Listas!$H$5:$H$25,0))&amp;" X "&amp;TEXT($F63,"0.####")&amp;" "&amp;INDEX(Listas!$I$5:$I$25,MATCH($D63,Listas!$H$5:$H$25,0))),"⚠ revisar la unidad"))</f>
        <v/>
      </c>
      <c r="I63" s="15" t="str">
        <f aca="false">IF(OR($F63="",$G63="",$F63=0),"",$G63/$F63)</f>
        <v/>
      </c>
      <c r="J63" s="22"/>
      <c r="K63" s="22"/>
      <c r="L63" s="22"/>
      <c r="M63" s="22"/>
      <c r="N63" s="22"/>
      <c r="O63" s="22"/>
      <c r="P63" s="23"/>
    </row>
    <row r="64" customFormat="false" ht="15" hidden="false" customHeight="false" outlineLevel="0" collapsed="false">
      <c r="A64" s="18"/>
      <c r="B64" s="19"/>
      <c r="C64" s="19"/>
      <c r="D64" s="19"/>
      <c r="E64" s="19"/>
      <c r="F64" s="20"/>
      <c r="G64" s="21"/>
      <c r="H64" s="14" t="str">
        <f aca="false">IF(OR($A64="",$D64="",$E64="",$F64=""),"",IFERROR($A64&amp;" / "&amp;IF(AND($F64=1,$D64=$E64),INDEX(Listas!$I$5:$I$25,MATCH($E64,Listas!$H$5:$H$25,0)),INDEX(Listas!$I$5:$I$25,MATCH($E64,Listas!$H$5:$H$25,0))&amp;" X "&amp;TEXT($F64,"0.####")&amp;" "&amp;INDEX(Listas!$I$5:$I$25,MATCH($D64,Listas!$H$5:$H$25,0))),"⚠ revisar la unidad"))</f>
        <v/>
      </c>
      <c r="I64" s="15" t="str">
        <f aca="false">IF(OR($F64="",$G64="",$F64=0),"",$G64/$F64)</f>
        <v/>
      </c>
      <c r="J64" s="22"/>
      <c r="K64" s="22"/>
      <c r="L64" s="22"/>
      <c r="M64" s="22"/>
      <c r="N64" s="22"/>
      <c r="O64" s="22"/>
      <c r="P64" s="23"/>
    </row>
    <row r="65" customFormat="false" ht="15" hidden="false" customHeight="false" outlineLevel="0" collapsed="false">
      <c r="A65" s="18"/>
      <c r="B65" s="19"/>
      <c r="C65" s="19"/>
      <c r="D65" s="19"/>
      <c r="E65" s="19"/>
      <c r="F65" s="20"/>
      <c r="G65" s="21"/>
      <c r="H65" s="14" t="str">
        <f aca="false">IF(OR($A65="",$D65="",$E65="",$F65=""),"",IFERROR($A65&amp;" / "&amp;IF(AND($F65=1,$D65=$E65),INDEX(Listas!$I$5:$I$25,MATCH($E65,Listas!$H$5:$H$25,0)),INDEX(Listas!$I$5:$I$25,MATCH($E65,Listas!$H$5:$H$25,0))&amp;" X "&amp;TEXT($F65,"0.####")&amp;" "&amp;INDEX(Listas!$I$5:$I$25,MATCH($D65,Listas!$H$5:$H$25,0))),"⚠ revisar la unidad"))</f>
        <v/>
      </c>
      <c r="I65" s="15" t="str">
        <f aca="false">IF(OR($F65="",$G65="",$F65=0),"",$G65/$F65)</f>
        <v/>
      </c>
      <c r="J65" s="22"/>
      <c r="K65" s="22"/>
      <c r="L65" s="22"/>
      <c r="M65" s="22"/>
      <c r="N65" s="22"/>
      <c r="O65" s="22"/>
      <c r="P65" s="23"/>
    </row>
    <row r="66" customFormat="false" ht="15" hidden="false" customHeight="false" outlineLevel="0" collapsed="false">
      <c r="A66" s="18"/>
      <c r="B66" s="19"/>
      <c r="C66" s="19"/>
      <c r="D66" s="19"/>
      <c r="E66" s="19"/>
      <c r="F66" s="20"/>
      <c r="G66" s="21"/>
      <c r="H66" s="14" t="str">
        <f aca="false">IF(OR($A66="",$D66="",$E66="",$F66=""),"",IFERROR($A66&amp;" / "&amp;IF(AND($F66=1,$D66=$E66),INDEX(Listas!$I$5:$I$25,MATCH($E66,Listas!$H$5:$H$25,0)),INDEX(Listas!$I$5:$I$25,MATCH($E66,Listas!$H$5:$H$25,0))&amp;" X "&amp;TEXT($F66,"0.####")&amp;" "&amp;INDEX(Listas!$I$5:$I$25,MATCH($D66,Listas!$H$5:$H$25,0))),"⚠ revisar la unidad"))</f>
        <v/>
      </c>
      <c r="I66" s="15" t="str">
        <f aca="false">IF(OR($F66="",$G66="",$F66=0),"",$G66/$F66)</f>
        <v/>
      </c>
      <c r="J66" s="22"/>
      <c r="K66" s="22"/>
      <c r="L66" s="22"/>
      <c r="M66" s="22"/>
      <c r="N66" s="22"/>
      <c r="O66" s="22"/>
      <c r="P66" s="23"/>
    </row>
    <row r="67" customFormat="false" ht="15" hidden="false" customHeight="false" outlineLevel="0" collapsed="false">
      <c r="A67" s="18"/>
      <c r="B67" s="19"/>
      <c r="C67" s="19"/>
      <c r="D67" s="19"/>
      <c r="E67" s="19"/>
      <c r="F67" s="20"/>
      <c r="G67" s="21"/>
      <c r="H67" s="14" t="str">
        <f aca="false">IF(OR($A67="",$D67="",$E67="",$F67=""),"",IFERROR($A67&amp;" / "&amp;IF(AND($F67=1,$D67=$E67),INDEX(Listas!$I$5:$I$25,MATCH($E67,Listas!$H$5:$H$25,0)),INDEX(Listas!$I$5:$I$25,MATCH($E67,Listas!$H$5:$H$25,0))&amp;" X "&amp;TEXT($F67,"0.####")&amp;" "&amp;INDEX(Listas!$I$5:$I$25,MATCH($D67,Listas!$H$5:$H$25,0))),"⚠ revisar la unidad"))</f>
        <v/>
      </c>
      <c r="I67" s="15" t="str">
        <f aca="false">IF(OR($F67="",$G67="",$F67=0),"",$G67/$F67)</f>
        <v/>
      </c>
      <c r="J67" s="22"/>
      <c r="K67" s="22"/>
      <c r="L67" s="22"/>
      <c r="M67" s="22"/>
      <c r="N67" s="22"/>
      <c r="O67" s="22"/>
      <c r="P67" s="23"/>
    </row>
    <row r="68" customFormat="false" ht="15" hidden="false" customHeight="false" outlineLevel="0" collapsed="false">
      <c r="A68" s="18"/>
      <c r="B68" s="19"/>
      <c r="C68" s="19"/>
      <c r="D68" s="19"/>
      <c r="E68" s="19"/>
      <c r="F68" s="20"/>
      <c r="G68" s="21"/>
      <c r="H68" s="14" t="str">
        <f aca="false">IF(OR($A68="",$D68="",$E68="",$F68=""),"",IFERROR($A68&amp;" / "&amp;IF(AND($F68=1,$D68=$E68),INDEX(Listas!$I$5:$I$25,MATCH($E68,Listas!$H$5:$H$25,0)),INDEX(Listas!$I$5:$I$25,MATCH($E68,Listas!$H$5:$H$25,0))&amp;" X "&amp;TEXT($F68,"0.####")&amp;" "&amp;INDEX(Listas!$I$5:$I$25,MATCH($D68,Listas!$H$5:$H$25,0))),"⚠ revisar la unidad"))</f>
        <v/>
      </c>
      <c r="I68" s="15" t="str">
        <f aca="false">IF(OR($F68="",$G68="",$F68=0),"",$G68/$F68)</f>
        <v/>
      </c>
      <c r="J68" s="22"/>
      <c r="K68" s="22"/>
      <c r="L68" s="22"/>
      <c r="M68" s="22"/>
      <c r="N68" s="22"/>
      <c r="O68" s="22"/>
      <c r="P68" s="23"/>
    </row>
    <row r="69" customFormat="false" ht="15" hidden="false" customHeight="false" outlineLevel="0" collapsed="false">
      <c r="A69" s="18"/>
      <c r="B69" s="19"/>
      <c r="C69" s="19"/>
      <c r="D69" s="19"/>
      <c r="E69" s="19"/>
      <c r="F69" s="20"/>
      <c r="G69" s="21"/>
      <c r="H69" s="14" t="str">
        <f aca="false">IF(OR($A69="",$D69="",$E69="",$F69=""),"",IFERROR($A69&amp;" / "&amp;IF(AND($F69=1,$D69=$E69),INDEX(Listas!$I$5:$I$25,MATCH($E69,Listas!$H$5:$H$25,0)),INDEX(Listas!$I$5:$I$25,MATCH($E69,Listas!$H$5:$H$25,0))&amp;" X "&amp;TEXT($F69,"0.####")&amp;" "&amp;INDEX(Listas!$I$5:$I$25,MATCH($D69,Listas!$H$5:$H$25,0))),"⚠ revisar la unidad"))</f>
        <v/>
      </c>
      <c r="I69" s="15" t="str">
        <f aca="false">IF(OR($F69="",$G69="",$F69=0),"",$G69/$F69)</f>
        <v/>
      </c>
      <c r="J69" s="22"/>
      <c r="K69" s="22"/>
      <c r="L69" s="22"/>
      <c r="M69" s="22"/>
      <c r="N69" s="22"/>
      <c r="O69" s="22"/>
      <c r="P69" s="23"/>
    </row>
    <row r="70" customFormat="false" ht="15" hidden="false" customHeight="false" outlineLevel="0" collapsed="false">
      <c r="A70" s="18"/>
      <c r="B70" s="19"/>
      <c r="C70" s="19"/>
      <c r="D70" s="19"/>
      <c r="E70" s="19"/>
      <c r="F70" s="20"/>
      <c r="G70" s="21"/>
      <c r="H70" s="14" t="str">
        <f aca="false">IF(OR($A70="",$D70="",$E70="",$F70=""),"",IFERROR($A70&amp;" / "&amp;IF(AND($F70=1,$D70=$E70),INDEX(Listas!$I$5:$I$25,MATCH($E70,Listas!$H$5:$H$25,0)),INDEX(Listas!$I$5:$I$25,MATCH($E70,Listas!$H$5:$H$25,0))&amp;" X "&amp;TEXT($F70,"0.####")&amp;" "&amp;INDEX(Listas!$I$5:$I$25,MATCH($D70,Listas!$H$5:$H$25,0))),"⚠ revisar la unidad"))</f>
        <v/>
      </c>
      <c r="I70" s="15" t="str">
        <f aca="false">IF(OR($F70="",$G70="",$F70=0),"",$G70/$F70)</f>
        <v/>
      </c>
      <c r="J70" s="22"/>
      <c r="K70" s="22"/>
      <c r="L70" s="22"/>
      <c r="M70" s="22"/>
      <c r="N70" s="22"/>
      <c r="O70" s="22"/>
      <c r="P70" s="23"/>
    </row>
    <row r="71" customFormat="false" ht="15" hidden="false" customHeight="false" outlineLevel="0" collapsed="false">
      <c r="A71" s="18"/>
      <c r="B71" s="19"/>
      <c r="C71" s="19"/>
      <c r="D71" s="19"/>
      <c r="E71" s="19"/>
      <c r="F71" s="20"/>
      <c r="G71" s="21"/>
      <c r="H71" s="14" t="str">
        <f aca="false">IF(OR($A71="",$D71="",$E71="",$F71=""),"",IFERROR($A71&amp;" / "&amp;IF(AND($F71=1,$D71=$E71),INDEX(Listas!$I$5:$I$25,MATCH($E71,Listas!$H$5:$H$25,0)),INDEX(Listas!$I$5:$I$25,MATCH($E71,Listas!$H$5:$H$25,0))&amp;" X "&amp;TEXT($F71,"0.####")&amp;" "&amp;INDEX(Listas!$I$5:$I$25,MATCH($D71,Listas!$H$5:$H$25,0))),"⚠ revisar la unidad"))</f>
        <v/>
      </c>
      <c r="I71" s="15" t="str">
        <f aca="false">IF(OR($F71="",$G71="",$F71=0),"",$G71/$F71)</f>
        <v/>
      </c>
      <c r="J71" s="22"/>
      <c r="K71" s="22"/>
      <c r="L71" s="22"/>
      <c r="M71" s="22"/>
      <c r="N71" s="22"/>
      <c r="O71" s="22"/>
      <c r="P71" s="23"/>
    </row>
    <row r="72" customFormat="false" ht="15" hidden="false" customHeight="false" outlineLevel="0" collapsed="false">
      <c r="A72" s="18"/>
      <c r="B72" s="19"/>
      <c r="C72" s="19"/>
      <c r="D72" s="19"/>
      <c r="E72" s="19"/>
      <c r="F72" s="20"/>
      <c r="G72" s="21"/>
      <c r="H72" s="14" t="str">
        <f aca="false">IF(OR($A72="",$D72="",$E72="",$F72=""),"",IFERROR($A72&amp;" / "&amp;IF(AND($F72=1,$D72=$E72),INDEX(Listas!$I$5:$I$25,MATCH($E72,Listas!$H$5:$H$25,0)),INDEX(Listas!$I$5:$I$25,MATCH($E72,Listas!$H$5:$H$25,0))&amp;" X "&amp;TEXT($F72,"0.####")&amp;" "&amp;INDEX(Listas!$I$5:$I$25,MATCH($D72,Listas!$H$5:$H$25,0))),"⚠ revisar la unidad"))</f>
        <v/>
      </c>
      <c r="I72" s="15" t="str">
        <f aca="false">IF(OR($F72="",$G72="",$F72=0),"",$G72/$F72)</f>
        <v/>
      </c>
      <c r="J72" s="22"/>
      <c r="K72" s="22"/>
      <c r="L72" s="22"/>
      <c r="M72" s="22"/>
      <c r="N72" s="22"/>
      <c r="O72" s="22"/>
      <c r="P72" s="23"/>
    </row>
    <row r="73" customFormat="false" ht="15" hidden="false" customHeight="false" outlineLevel="0" collapsed="false">
      <c r="A73" s="18"/>
      <c r="B73" s="19"/>
      <c r="C73" s="19"/>
      <c r="D73" s="19"/>
      <c r="E73" s="19"/>
      <c r="F73" s="20"/>
      <c r="G73" s="21"/>
      <c r="H73" s="14" t="str">
        <f aca="false">IF(OR($A73="",$D73="",$E73="",$F73=""),"",IFERROR($A73&amp;" / "&amp;IF(AND($F73=1,$D73=$E73),INDEX(Listas!$I$5:$I$25,MATCH($E73,Listas!$H$5:$H$25,0)),INDEX(Listas!$I$5:$I$25,MATCH($E73,Listas!$H$5:$H$25,0))&amp;" X "&amp;TEXT($F73,"0.####")&amp;" "&amp;INDEX(Listas!$I$5:$I$25,MATCH($D73,Listas!$H$5:$H$25,0))),"⚠ revisar la unidad"))</f>
        <v/>
      </c>
      <c r="I73" s="15" t="str">
        <f aca="false">IF(OR($F73="",$G73="",$F73=0),"",$G73/$F73)</f>
        <v/>
      </c>
      <c r="J73" s="22"/>
      <c r="K73" s="22"/>
      <c r="L73" s="22"/>
      <c r="M73" s="22"/>
      <c r="N73" s="22"/>
      <c r="O73" s="22"/>
      <c r="P73" s="23"/>
    </row>
    <row r="74" customFormat="false" ht="15" hidden="false" customHeight="false" outlineLevel="0" collapsed="false">
      <c r="A74" s="18"/>
      <c r="B74" s="19"/>
      <c r="C74" s="19"/>
      <c r="D74" s="19"/>
      <c r="E74" s="19"/>
      <c r="F74" s="20"/>
      <c r="G74" s="21"/>
      <c r="H74" s="14" t="str">
        <f aca="false">IF(OR($A74="",$D74="",$E74="",$F74=""),"",IFERROR($A74&amp;" / "&amp;IF(AND($F74=1,$D74=$E74),INDEX(Listas!$I$5:$I$25,MATCH($E74,Listas!$H$5:$H$25,0)),INDEX(Listas!$I$5:$I$25,MATCH($E74,Listas!$H$5:$H$25,0))&amp;" X "&amp;TEXT($F74,"0.####")&amp;" "&amp;INDEX(Listas!$I$5:$I$25,MATCH($D74,Listas!$H$5:$H$25,0))),"⚠ revisar la unidad"))</f>
        <v/>
      </c>
      <c r="I74" s="15" t="str">
        <f aca="false">IF(OR($F74="",$G74="",$F74=0),"",$G74/$F74)</f>
        <v/>
      </c>
      <c r="J74" s="22"/>
      <c r="K74" s="22"/>
      <c r="L74" s="22"/>
      <c r="M74" s="22"/>
      <c r="N74" s="22"/>
      <c r="O74" s="22"/>
      <c r="P74" s="23"/>
    </row>
    <row r="75" customFormat="false" ht="15" hidden="false" customHeight="false" outlineLevel="0" collapsed="false">
      <c r="A75" s="18"/>
      <c r="B75" s="19"/>
      <c r="C75" s="19"/>
      <c r="D75" s="19"/>
      <c r="E75" s="19"/>
      <c r="F75" s="20"/>
      <c r="G75" s="21"/>
      <c r="H75" s="14" t="str">
        <f aca="false">IF(OR($A75="",$D75="",$E75="",$F75=""),"",IFERROR($A75&amp;" / "&amp;IF(AND($F75=1,$D75=$E75),INDEX(Listas!$I$5:$I$25,MATCH($E75,Listas!$H$5:$H$25,0)),INDEX(Listas!$I$5:$I$25,MATCH($E75,Listas!$H$5:$H$25,0))&amp;" X "&amp;TEXT($F75,"0.####")&amp;" "&amp;INDEX(Listas!$I$5:$I$25,MATCH($D75,Listas!$H$5:$H$25,0))),"⚠ revisar la unidad"))</f>
        <v/>
      </c>
      <c r="I75" s="15" t="str">
        <f aca="false">IF(OR($F75="",$G75="",$F75=0),"",$G75/$F75)</f>
        <v/>
      </c>
      <c r="J75" s="22"/>
      <c r="K75" s="22"/>
      <c r="L75" s="22"/>
      <c r="M75" s="22"/>
      <c r="N75" s="22"/>
      <c r="O75" s="22"/>
      <c r="P75" s="23"/>
    </row>
    <row r="76" customFormat="false" ht="15" hidden="false" customHeight="false" outlineLevel="0" collapsed="false">
      <c r="A76" s="18"/>
      <c r="B76" s="19"/>
      <c r="C76" s="19"/>
      <c r="D76" s="19"/>
      <c r="E76" s="19"/>
      <c r="F76" s="20"/>
      <c r="G76" s="21"/>
      <c r="H76" s="14" t="str">
        <f aca="false">IF(OR($A76="",$D76="",$E76="",$F76=""),"",IFERROR($A76&amp;" / "&amp;IF(AND($F76=1,$D76=$E76),INDEX(Listas!$I$5:$I$25,MATCH($E76,Listas!$H$5:$H$25,0)),INDEX(Listas!$I$5:$I$25,MATCH($E76,Listas!$H$5:$H$25,0))&amp;" X "&amp;TEXT($F76,"0.####")&amp;" "&amp;INDEX(Listas!$I$5:$I$25,MATCH($D76,Listas!$H$5:$H$25,0))),"⚠ revisar la unidad"))</f>
        <v/>
      </c>
      <c r="I76" s="15" t="str">
        <f aca="false">IF(OR($F76="",$G76="",$F76=0),"",$G76/$F76)</f>
        <v/>
      </c>
      <c r="J76" s="22"/>
      <c r="K76" s="22"/>
      <c r="L76" s="22"/>
      <c r="M76" s="22"/>
      <c r="N76" s="22"/>
      <c r="O76" s="22"/>
      <c r="P76" s="23"/>
    </row>
    <row r="77" customFormat="false" ht="15" hidden="false" customHeight="false" outlineLevel="0" collapsed="false">
      <c r="A77" s="18"/>
      <c r="B77" s="19"/>
      <c r="C77" s="19"/>
      <c r="D77" s="19"/>
      <c r="E77" s="19"/>
      <c r="F77" s="20"/>
      <c r="G77" s="21"/>
      <c r="H77" s="14" t="str">
        <f aca="false">IF(OR($A77="",$D77="",$E77="",$F77=""),"",IFERROR($A77&amp;" / "&amp;IF(AND($F77=1,$D77=$E77),INDEX(Listas!$I$5:$I$25,MATCH($E77,Listas!$H$5:$H$25,0)),INDEX(Listas!$I$5:$I$25,MATCH($E77,Listas!$H$5:$H$25,0))&amp;" X "&amp;TEXT($F77,"0.####")&amp;" "&amp;INDEX(Listas!$I$5:$I$25,MATCH($D77,Listas!$H$5:$H$25,0))),"⚠ revisar la unidad"))</f>
        <v/>
      </c>
      <c r="I77" s="15" t="str">
        <f aca="false">IF(OR($F77="",$G77="",$F77=0),"",$G77/$F77)</f>
        <v/>
      </c>
      <c r="J77" s="22"/>
      <c r="K77" s="22"/>
      <c r="L77" s="22"/>
      <c r="M77" s="22"/>
      <c r="N77" s="22"/>
      <c r="O77" s="22"/>
      <c r="P77" s="23"/>
    </row>
    <row r="78" customFormat="false" ht="15" hidden="false" customHeight="false" outlineLevel="0" collapsed="false">
      <c r="A78" s="18"/>
      <c r="B78" s="19"/>
      <c r="C78" s="19"/>
      <c r="D78" s="19"/>
      <c r="E78" s="19"/>
      <c r="F78" s="20"/>
      <c r="G78" s="21"/>
      <c r="H78" s="14" t="str">
        <f aca="false">IF(OR($A78="",$D78="",$E78="",$F78=""),"",IFERROR($A78&amp;" / "&amp;IF(AND($F78=1,$D78=$E78),INDEX(Listas!$I$5:$I$25,MATCH($E78,Listas!$H$5:$H$25,0)),INDEX(Listas!$I$5:$I$25,MATCH($E78,Listas!$H$5:$H$25,0))&amp;" X "&amp;TEXT($F78,"0.####")&amp;" "&amp;INDEX(Listas!$I$5:$I$25,MATCH($D78,Listas!$H$5:$H$25,0))),"⚠ revisar la unidad"))</f>
        <v/>
      </c>
      <c r="I78" s="15" t="str">
        <f aca="false">IF(OR($F78="",$G78="",$F78=0),"",$G78/$F78)</f>
        <v/>
      </c>
      <c r="J78" s="22"/>
      <c r="K78" s="22"/>
      <c r="L78" s="22"/>
      <c r="M78" s="22"/>
      <c r="N78" s="22"/>
      <c r="O78" s="22"/>
      <c r="P78" s="23"/>
    </row>
    <row r="79" customFormat="false" ht="15" hidden="false" customHeight="false" outlineLevel="0" collapsed="false">
      <c r="A79" s="18"/>
      <c r="B79" s="19"/>
      <c r="C79" s="19"/>
      <c r="D79" s="19"/>
      <c r="E79" s="19"/>
      <c r="F79" s="20"/>
      <c r="G79" s="21"/>
      <c r="H79" s="14" t="str">
        <f aca="false">IF(OR($A79="",$D79="",$E79="",$F79=""),"",IFERROR($A79&amp;" / "&amp;IF(AND($F79=1,$D79=$E79),INDEX(Listas!$I$5:$I$25,MATCH($E79,Listas!$H$5:$H$25,0)),INDEX(Listas!$I$5:$I$25,MATCH($E79,Listas!$H$5:$H$25,0))&amp;" X "&amp;TEXT($F79,"0.####")&amp;" "&amp;INDEX(Listas!$I$5:$I$25,MATCH($D79,Listas!$H$5:$H$25,0))),"⚠ revisar la unidad"))</f>
        <v/>
      </c>
      <c r="I79" s="15" t="str">
        <f aca="false">IF(OR($F79="",$G79="",$F79=0),"",$G79/$F79)</f>
        <v/>
      </c>
      <c r="J79" s="22"/>
      <c r="K79" s="22"/>
      <c r="L79" s="22"/>
      <c r="M79" s="22"/>
      <c r="N79" s="22"/>
      <c r="O79" s="22"/>
      <c r="P79" s="23"/>
    </row>
    <row r="80" customFormat="false" ht="15" hidden="false" customHeight="false" outlineLevel="0" collapsed="false">
      <c r="A80" s="18"/>
      <c r="B80" s="19"/>
      <c r="C80" s="19"/>
      <c r="D80" s="19"/>
      <c r="E80" s="19"/>
      <c r="F80" s="20"/>
      <c r="G80" s="21"/>
      <c r="H80" s="14" t="str">
        <f aca="false">IF(OR($A80="",$D80="",$E80="",$F80=""),"",IFERROR($A80&amp;" / "&amp;IF(AND($F80=1,$D80=$E80),INDEX(Listas!$I$5:$I$25,MATCH($E80,Listas!$H$5:$H$25,0)),INDEX(Listas!$I$5:$I$25,MATCH($E80,Listas!$H$5:$H$25,0))&amp;" X "&amp;TEXT($F80,"0.####")&amp;" "&amp;INDEX(Listas!$I$5:$I$25,MATCH($D80,Listas!$H$5:$H$25,0))),"⚠ revisar la unidad"))</f>
        <v/>
      </c>
      <c r="I80" s="15" t="str">
        <f aca="false">IF(OR($F80="",$G80="",$F80=0),"",$G80/$F80)</f>
        <v/>
      </c>
      <c r="J80" s="22"/>
      <c r="K80" s="22"/>
      <c r="L80" s="22"/>
      <c r="M80" s="22"/>
      <c r="N80" s="22"/>
      <c r="O80" s="22"/>
      <c r="P80" s="23"/>
    </row>
    <row r="81" customFormat="false" ht="15" hidden="false" customHeight="false" outlineLevel="0" collapsed="false">
      <c r="A81" s="18"/>
      <c r="B81" s="19"/>
      <c r="C81" s="19"/>
      <c r="D81" s="19"/>
      <c r="E81" s="19"/>
      <c r="F81" s="20"/>
      <c r="G81" s="21"/>
      <c r="H81" s="14" t="str">
        <f aca="false">IF(OR($A81="",$D81="",$E81="",$F81=""),"",IFERROR($A81&amp;" / "&amp;IF(AND($F81=1,$D81=$E81),INDEX(Listas!$I$5:$I$25,MATCH($E81,Listas!$H$5:$H$25,0)),INDEX(Listas!$I$5:$I$25,MATCH($E81,Listas!$H$5:$H$25,0))&amp;" X "&amp;TEXT($F81,"0.####")&amp;" "&amp;INDEX(Listas!$I$5:$I$25,MATCH($D81,Listas!$H$5:$H$25,0))),"⚠ revisar la unidad"))</f>
        <v/>
      </c>
      <c r="I81" s="15" t="str">
        <f aca="false">IF(OR($F81="",$G81="",$F81=0),"",$G81/$F81)</f>
        <v/>
      </c>
      <c r="J81" s="22"/>
      <c r="K81" s="22"/>
      <c r="L81" s="22"/>
      <c r="M81" s="22"/>
      <c r="N81" s="22"/>
      <c r="O81" s="22"/>
      <c r="P81" s="23"/>
    </row>
    <row r="82" customFormat="false" ht="15" hidden="false" customHeight="false" outlineLevel="0" collapsed="false">
      <c r="A82" s="18"/>
      <c r="B82" s="19"/>
      <c r="C82" s="19"/>
      <c r="D82" s="19"/>
      <c r="E82" s="19"/>
      <c r="F82" s="20"/>
      <c r="G82" s="21"/>
      <c r="H82" s="14" t="str">
        <f aca="false">IF(OR($A82="",$D82="",$E82="",$F82=""),"",IFERROR($A82&amp;" / "&amp;IF(AND($F82=1,$D82=$E82),INDEX(Listas!$I$5:$I$25,MATCH($E82,Listas!$H$5:$H$25,0)),INDEX(Listas!$I$5:$I$25,MATCH($E82,Listas!$H$5:$H$25,0))&amp;" X "&amp;TEXT($F82,"0.####")&amp;" "&amp;INDEX(Listas!$I$5:$I$25,MATCH($D82,Listas!$H$5:$H$25,0))),"⚠ revisar la unidad"))</f>
        <v/>
      </c>
      <c r="I82" s="15" t="str">
        <f aca="false">IF(OR($F82="",$G82="",$F82=0),"",$G82/$F82)</f>
        <v/>
      </c>
      <c r="J82" s="22"/>
      <c r="K82" s="22"/>
      <c r="L82" s="22"/>
      <c r="M82" s="22"/>
      <c r="N82" s="22"/>
      <c r="O82" s="22"/>
      <c r="P82" s="23"/>
    </row>
    <row r="83" customFormat="false" ht="15" hidden="false" customHeight="false" outlineLevel="0" collapsed="false">
      <c r="A83" s="18"/>
      <c r="B83" s="19"/>
      <c r="C83" s="19"/>
      <c r="D83" s="19"/>
      <c r="E83" s="19"/>
      <c r="F83" s="20"/>
      <c r="G83" s="21"/>
      <c r="H83" s="14" t="str">
        <f aca="false">IF(OR($A83="",$D83="",$E83="",$F83=""),"",IFERROR($A83&amp;" / "&amp;IF(AND($F83=1,$D83=$E83),INDEX(Listas!$I$5:$I$25,MATCH($E83,Listas!$H$5:$H$25,0)),INDEX(Listas!$I$5:$I$25,MATCH($E83,Listas!$H$5:$H$25,0))&amp;" X "&amp;TEXT($F83,"0.####")&amp;" "&amp;INDEX(Listas!$I$5:$I$25,MATCH($D83,Listas!$H$5:$H$25,0))),"⚠ revisar la unidad"))</f>
        <v/>
      </c>
      <c r="I83" s="15" t="str">
        <f aca="false">IF(OR($F83="",$G83="",$F83=0),"",$G83/$F83)</f>
        <v/>
      </c>
      <c r="J83" s="22"/>
      <c r="K83" s="22"/>
      <c r="L83" s="22"/>
      <c r="M83" s="22"/>
      <c r="N83" s="22"/>
      <c r="O83" s="22"/>
      <c r="P83" s="23"/>
    </row>
    <row r="84" customFormat="false" ht="15" hidden="false" customHeight="false" outlineLevel="0" collapsed="false">
      <c r="A84" s="18"/>
      <c r="B84" s="19"/>
      <c r="C84" s="19"/>
      <c r="D84" s="19"/>
      <c r="E84" s="19"/>
      <c r="F84" s="20"/>
      <c r="G84" s="21"/>
      <c r="H84" s="14" t="str">
        <f aca="false">IF(OR($A84="",$D84="",$E84="",$F84=""),"",IFERROR($A84&amp;" / "&amp;IF(AND($F84=1,$D84=$E84),INDEX(Listas!$I$5:$I$25,MATCH($E84,Listas!$H$5:$H$25,0)),INDEX(Listas!$I$5:$I$25,MATCH($E84,Listas!$H$5:$H$25,0))&amp;" X "&amp;TEXT($F84,"0.####")&amp;" "&amp;INDEX(Listas!$I$5:$I$25,MATCH($D84,Listas!$H$5:$H$25,0))),"⚠ revisar la unidad"))</f>
        <v/>
      </c>
      <c r="I84" s="15" t="str">
        <f aca="false">IF(OR($F84="",$G84="",$F84=0),"",$G84/$F84)</f>
        <v/>
      </c>
      <c r="J84" s="22"/>
      <c r="K84" s="22"/>
      <c r="L84" s="22"/>
      <c r="M84" s="22"/>
      <c r="N84" s="22"/>
      <c r="O84" s="22"/>
      <c r="P84" s="23"/>
    </row>
    <row r="85" customFormat="false" ht="15" hidden="false" customHeight="false" outlineLevel="0" collapsed="false">
      <c r="A85" s="18"/>
      <c r="B85" s="19"/>
      <c r="C85" s="19"/>
      <c r="D85" s="19"/>
      <c r="E85" s="19"/>
      <c r="F85" s="20"/>
      <c r="G85" s="21"/>
      <c r="H85" s="14" t="str">
        <f aca="false">IF(OR($A85="",$D85="",$E85="",$F85=""),"",IFERROR($A85&amp;" / "&amp;IF(AND($F85=1,$D85=$E85),INDEX(Listas!$I$5:$I$25,MATCH($E85,Listas!$H$5:$H$25,0)),INDEX(Listas!$I$5:$I$25,MATCH($E85,Listas!$H$5:$H$25,0))&amp;" X "&amp;TEXT($F85,"0.####")&amp;" "&amp;INDEX(Listas!$I$5:$I$25,MATCH($D85,Listas!$H$5:$H$25,0))),"⚠ revisar la unidad"))</f>
        <v/>
      </c>
      <c r="I85" s="15" t="str">
        <f aca="false">IF(OR($F85="",$G85="",$F85=0),"",$G85/$F85)</f>
        <v/>
      </c>
      <c r="J85" s="22"/>
      <c r="K85" s="22"/>
      <c r="L85" s="22"/>
      <c r="M85" s="22"/>
      <c r="N85" s="22"/>
      <c r="O85" s="22"/>
      <c r="P85" s="23"/>
    </row>
    <row r="86" customFormat="false" ht="15" hidden="false" customHeight="false" outlineLevel="0" collapsed="false">
      <c r="A86" s="18"/>
      <c r="B86" s="19"/>
      <c r="C86" s="19"/>
      <c r="D86" s="19"/>
      <c r="E86" s="19"/>
      <c r="F86" s="20"/>
      <c r="G86" s="21"/>
      <c r="H86" s="14" t="str">
        <f aca="false">IF(OR($A86="",$D86="",$E86="",$F86=""),"",IFERROR($A86&amp;" / "&amp;IF(AND($F86=1,$D86=$E86),INDEX(Listas!$I$5:$I$25,MATCH($E86,Listas!$H$5:$H$25,0)),INDEX(Listas!$I$5:$I$25,MATCH($E86,Listas!$H$5:$H$25,0))&amp;" X "&amp;TEXT($F86,"0.####")&amp;" "&amp;INDEX(Listas!$I$5:$I$25,MATCH($D86,Listas!$H$5:$H$25,0))),"⚠ revisar la unidad"))</f>
        <v/>
      </c>
      <c r="I86" s="15" t="str">
        <f aca="false">IF(OR($F86="",$G86="",$F86=0),"",$G86/$F86)</f>
        <v/>
      </c>
      <c r="J86" s="22"/>
      <c r="K86" s="22"/>
      <c r="L86" s="22"/>
      <c r="M86" s="22"/>
      <c r="N86" s="22"/>
      <c r="O86" s="22"/>
      <c r="P86" s="23"/>
    </row>
    <row r="87" customFormat="false" ht="15" hidden="false" customHeight="false" outlineLevel="0" collapsed="false">
      <c r="A87" s="18"/>
      <c r="B87" s="19"/>
      <c r="C87" s="19"/>
      <c r="D87" s="19"/>
      <c r="E87" s="19"/>
      <c r="F87" s="20"/>
      <c r="G87" s="21"/>
      <c r="H87" s="14" t="str">
        <f aca="false">IF(OR($A87="",$D87="",$E87="",$F87=""),"",IFERROR($A87&amp;" / "&amp;IF(AND($F87=1,$D87=$E87),INDEX(Listas!$I$5:$I$25,MATCH($E87,Listas!$H$5:$H$25,0)),INDEX(Listas!$I$5:$I$25,MATCH($E87,Listas!$H$5:$H$25,0))&amp;" X "&amp;TEXT($F87,"0.####")&amp;" "&amp;INDEX(Listas!$I$5:$I$25,MATCH($D87,Listas!$H$5:$H$25,0))),"⚠ revisar la unidad"))</f>
        <v/>
      </c>
      <c r="I87" s="15" t="str">
        <f aca="false">IF(OR($F87="",$G87="",$F87=0),"",$G87/$F87)</f>
        <v/>
      </c>
      <c r="J87" s="22"/>
      <c r="K87" s="22"/>
      <c r="L87" s="22"/>
      <c r="M87" s="22"/>
      <c r="N87" s="22"/>
      <c r="O87" s="22"/>
      <c r="P87" s="23"/>
    </row>
    <row r="88" customFormat="false" ht="15" hidden="false" customHeight="false" outlineLevel="0" collapsed="false">
      <c r="A88" s="18"/>
      <c r="B88" s="19"/>
      <c r="C88" s="19"/>
      <c r="D88" s="19"/>
      <c r="E88" s="19"/>
      <c r="F88" s="20"/>
      <c r="G88" s="21"/>
      <c r="H88" s="14" t="str">
        <f aca="false">IF(OR($A88="",$D88="",$E88="",$F88=""),"",IFERROR($A88&amp;" / "&amp;IF(AND($F88=1,$D88=$E88),INDEX(Listas!$I$5:$I$25,MATCH($E88,Listas!$H$5:$H$25,0)),INDEX(Listas!$I$5:$I$25,MATCH($E88,Listas!$H$5:$H$25,0))&amp;" X "&amp;TEXT($F88,"0.####")&amp;" "&amp;INDEX(Listas!$I$5:$I$25,MATCH($D88,Listas!$H$5:$H$25,0))),"⚠ revisar la unidad"))</f>
        <v/>
      </c>
      <c r="I88" s="15" t="str">
        <f aca="false">IF(OR($F88="",$G88="",$F88=0),"",$G88/$F88)</f>
        <v/>
      </c>
      <c r="J88" s="22"/>
      <c r="K88" s="22"/>
      <c r="L88" s="22"/>
      <c r="M88" s="22"/>
      <c r="N88" s="22"/>
      <c r="O88" s="22"/>
      <c r="P88" s="23"/>
    </row>
    <row r="89" customFormat="false" ht="15" hidden="false" customHeight="false" outlineLevel="0" collapsed="false">
      <c r="A89" s="18"/>
      <c r="B89" s="19"/>
      <c r="C89" s="19"/>
      <c r="D89" s="19"/>
      <c r="E89" s="19"/>
      <c r="F89" s="20"/>
      <c r="G89" s="21"/>
      <c r="H89" s="14" t="str">
        <f aca="false">IF(OR($A89="",$D89="",$E89="",$F89=""),"",IFERROR($A89&amp;" / "&amp;IF(AND($F89=1,$D89=$E89),INDEX(Listas!$I$5:$I$25,MATCH($E89,Listas!$H$5:$H$25,0)),INDEX(Listas!$I$5:$I$25,MATCH($E89,Listas!$H$5:$H$25,0))&amp;" X "&amp;TEXT($F89,"0.####")&amp;" "&amp;INDEX(Listas!$I$5:$I$25,MATCH($D89,Listas!$H$5:$H$25,0))),"⚠ revisar la unidad"))</f>
        <v/>
      </c>
      <c r="I89" s="15" t="str">
        <f aca="false">IF(OR($F89="",$G89="",$F89=0),"",$G89/$F89)</f>
        <v/>
      </c>
      <c r="J89" s="22"/>
      <c r="K89" s="22"/>
      <c r="L89" s="22"/>
      <c r="M89" s="22"/>
      <c r="N89" s="22"/>
      <c r="O89" s="22"/>
      <c r="P89" s="23"/>
    </row>
    <row r="90" customFormat="false" ht="15" hidden="false" customHeight="false" outlineLevel="0" collapsed="false">
      <c r="A90" s="18"/>
      <c r="B90" s="19"/>
      <c r="C90" s="19"/>
      <c r="D90" s="19"/>
      <c r="E90" s="19"/>
      <c r="F90" s="20"/>
      <c r="G90" s="21"/>
      <c r="H90" s="14" t="str">
        <f aca="false">IF(OR($A90="",$D90="",$E90="",$F90=""),"",IFERROR($A90&amp;" / "&amp;IF(AND($F90=1,$D90=$E90),INDEX(Listas!$I$5:$I$25,MATCH($E90,Listas!$H$5:$H$25,0)),INDEX(Listas!$I$5:$I$25,MATCH($E90,Listas!$H$5:$H$25,0))&amp;" X "&amp;TEXT($F90,"0.####")&amp;" "&amp;INDEX(Listas!$I$5:$I$25,MATCH($D90,Listas!$H$5:$H$25,0))),"⚠ revisar la unidad"))</f>
        <v/>
      </c>
      <c r="I90" s="15" t="str">
        <f aca="false">IF(OR($F90="",$G90="",$F90=0),"",$G90/$F90)</f>
        <v/>
      </c>
      <c r="J90" s="22"/>
      <c r="K90" s="22"/>
      <c r="L90" s="22"/>
      <c r="M90" s="22"/>
      <c r="N90" s="22"/>
      <c r="O90" s="22"/>
      <c r="P90" s="23"/>
    </row>
    <row r="91" customFormat="false" ht="15" hidden="false" customHeight="false" outlineLevel="0" collapsed="false">
      <c r="A91" s="18"/>
      <c r="B91" s="19"/>
      <c r="C91" s="19"/>
      <c r="D91" s="19"/>
      <c r="E91" s="19"/>
      <c r="F91" s="20"/>
      <c r="G91" s="21"/>
      <c r="H91" s="14" t="str">
        <f aca="false">IF(OR($A91="",$D91="",$E91="",$F91=""),"",IFERROR($A91&amp;" / "&amp;IF(AND($F91=1,$D91=$E91),INDEX(Listas!$I$5:$I$25,MATCH($E91,Listas!$H$5:$H$25,0)),INDEX(Listas!$I$5:$I$25,MATCH($E91,Listas!$H$5:$H$25,0))&amp;" X "&amp;TEXT($F91,"0.####")&amp;" "&amp;INDEX(Listas!$I$5:$I$25,MATCH($D91,Listas!$H$5:$H$25,0))),"⚠ revisar la unidad"))</f>
        <v/>
      </c>
      <c r="I91" s="15" t="str">
        <f aca="false">IF(OR($F91="",$G91="",$F91=0),"",$G91/$F91)</f>
        <v/>
      </c>
      <c r="J91" s="22"/>
      <c r="K91" s="22"/>
      <c r="L91" s="22"/>
      <c r="M91" s="22"/>
      <c r="N91" s="22"/>
      <c r="O91" s="22"/>
      <c r="P91" s="23"/>
    </row>
    <row r="92" customFormat="false" ht="15" hidden="false" customHeight="false" outlineLevel="0" collapsed="false">
      <c r="A92" s="18"/>
      <c r="B92" s="19"/>
      <c r="C92" s="19"/>
      <c r="D92" s="19"/>
      <c r="E92" s="19"/>
      <c r="F92" s="20"/>
      <c r="G92" s="21"/>
      <c r="H92" s="14" t="str">
        <f aca="false">IF(OR($A92="",$D92="",$E92="",$F92=""),"",IFERROR($A92&amp;" / "&amp;IF(AND($F92=1,$D92=$E92),INDEX(Listas!$I$5:$I$25,MATCH($E92,Listas!$H$5:$H$25,0)),INDEX(Listas!$I$5:$I$25,MATCH($E92,Listas!$H$5:$H$25,0))&amp;" X "&amp;TEXT($F92,"0.####")&amp;" "&amp;INDEX(Listas!$I$5:$I$25,MATCH($D92,Listas!$H$5:$H$25,0))),"⚠ revisar la unidad"))</f>
        <v/>
      </c>
      <c r="I92" s="15" t="str">
        <f aca="false">IF(OR($F92="",$G92="",$F92=0),"",$G92/$F92)</f>
        <v/>
      </c>
      <c r="J92" s="22"/>
      <c r="K92" s="22"/>
      <c r="L92" s="22"/>
      <c r="M92" s="22"/>
      <c r="N92" s="22"/>
      <c r="O92" s="22"/>
      <c r="P92" s="23"/>
    </row>
    <row r="93" customFormat="false" ht="15" hidden="false" customHeight="false" outlineLevel="0" collapsed="false">
      <c r="A93" s="18"/>
      <c r="B93" s="19"/>
      <c r="C93" s="19"/>
      <c r="D93" s="19"/>
      <c r="E93" s="19"/>
      <c r="F93" s="20"/>
      <c r="G93" s="21"/>
      <c r="H93" s="14" t="str">
        <f aca="false">IF(OR($A93="",$D93="",$E93="",$F93=""),"",IFERROR($A93&amp;" / "&amp;IF(AND($F93=1,$D93=$E93),INDEX(Listas!$I$5:$I$25,MATCH($E93,Listas!$H$5:$H$25,0)),INDEX(Listas!$I$5:$I$25,MATCH($E93,Listas!$H$5:$H$25,0))&amp;" X "&amp;TEXT($F93,"0.####")&amp;" "&amp;INDEX(Listas!$I$5:$I$25,MATCH($D93,Listas!$H$5:$H$25,0))),"⚠ revisar la unidad"))</f>
        <v/>
      </c>
      <c r="I93" s="15" t="str">
        <f aca="false">IF(OR($F93="",$G93="",$F93=0),"",$G93/$F93)</f>
        <v/>
      </c>
      <c r="J93" s="22"/>
      <c r="K93" s="22"/>
      <c r="L93" s="22"/>
      <c r="M93" s="22"/>
      <c r="N93" s="22"/>
      <c r="O93" s="22"/>
      <c r="P93" s="23"/>
    </row>
    <row r="94" customFormat="false" ht="15" hidden="false" customHeight="false" outlineLevel="0" collapsed="false">
      <c r="A94" s="18"/>
      <c r="B94" s="19"/>
      <c r="C94" s="19"/>
      <c r="D94" s="19"/>
      <c r="E94" s="19"/>
      <c r="F94" s="20"/>
      <c r="G94" s="21"/>
      <c r="H94" s="14" t="str">
        <f aca="false">IF(OR($A94="",$D94="",$E94="",$F94=""),"",IFERROR($A94&amp;" / "&amp;IF(AND($F94=1,$D94=$E94),INDEX(Listas!$I$5:$I$25,MATCH($E94,Listas!$H$5:$H$25,0)),INDEX(Listas!$I$5:$I$25,MATCH($E94,Listas!$H$5:$H$25,0))&amp;" X "&amp;TEXT($F94,"0.####")&amp;" "&amp;INDEX(Listas!$I$5:$I$25,MATCH($D94,Listas!$H$5:$H$25,0))),"⚠ revisar la unidad"))</f>
        <v/>
      </c>
      <c r="I94" s="15" t="str">
        <f aca="false">IF(OR($F94="",$G94="",$F94=0),"",$G94/$F94)</f>
        <v/>
      </c>
      <c r="J94" s="22"/>
      <c r="K94" s="22"/>
      <c r="L94" s="22"/>
      <c r="M94" s="22"/>
      <c r="N94" s="22"/>
      <c r="O94" s="22"/>
      <c r="P94" s="23"/>
    </row>
    <row r="95" customFormat="false" ht="15" hidden="false" customHeight="false" outlineLevel="0" collapsed="false">
      <c r="A95" s="18"/>
      <c r="B95" s="19"/>
      <c r="C95" s="19"/>
      <c r="D95" s="19"/>
      <c r="E95" s="19"/>
      <c r="F95" s="20"/>
      <c r="G95" s="21"/>
      <c r="H95" s="14" t="str">
        <f aca="false">IF(OR($A95="",$D95="",$E95="",$F95=""),"",IFERROR($A95&amp;" / "&amp;IF(AND($F95=1,$D95=$E95),INDEX(Listas!$I$5:$I$25,MATCH($E95,Listas!$H$5:$H$25,0)),INDEX(Listas!$I$5:$I$25,MATCH($E95,Listas!$H$5:$H$25,0))&amp;" X "&amp;TEXT($F95,"0.####")&amp;" "&amp;INDEX(Listas!$I$5:$I$25,MATCH($D95,Listas!$H$5:$H$25,0))),"⚠ revisar la unidad"))</f>
        <v/>
      </c>
      <c r="I95" s="15" t="str">
        <f aca="false">IF(OR($F95="",$G95="",$F95=0),"",$G95/$F95)</f>
        <v/>
      </c>
      <c r="J95" s="22"/>
      <c r="K95" s="22"/>
      <c r="L95" s="22"/>
      <c r="M95" s="22"/>
      <c r="N95" s="22"/>
      <c r="O95" s="22"/>
      <c r="P95" s="23"/>
    </row>
    <row r="96" customFormat="false" ht="15" hidden="false" customHeight="false" outlineLevel="0" collapsed="false">
      <c r="A96" s="18"/>
      <c r="B96" s="19"/>
      <c r="C96" s="19"/>
      <c r="D96" s="19"/>
      <c r="E96" s="19"/>
      <c r="F96" s="20"/>
      <c r="G96" s="21"/>
      <c r="H96" s="14" t="str">
        <f aca="false">IF(OR($A96="",$D96="",$E96="",$F96=""),"",IFERROR($A96&amp;" / "&amp;IF(AND($F96=1,$D96=$E96),INDEX(Listas!$I$5:$I$25,MATCH($E96,Listas!$H$5:$H$25,0)),INDEX(Listas!$I$5:$I$25,MATCH($E96,Listas!$H$5:$H$25,0))&amp;" X "&amp;TEXT($F96,"0.####")&amp;" "&amp;INDEX(Listas!$I$5:$I$25,MATCH($D96,Listas!$H$5:$H$25,0))),"⚠ revisar la unidad"))</f>
        <v/>
      </c>
      <c r="I96" s="15" t="str">
        <f aca="false">IF(OR($F96="",$G96="",$F96=0),"",$G96/$F96)</f>
        <v/>
      </c>
      <c r="J96" s="22"/>
      <c r="K96" s="22"/>
      <c r="L96" s="22"/>
      <c r="M96" s="22"/>
      <c r="N96" s="22"/>
      <c r="O96" s="22"/>
      <c r="P96" s="23"/>
    </row>
    <row r="97" customFormat="false" ht="15" hidden="false" customHeight="false" outlineLevel="0" collapsed="false">
      <c r="A97" s="18"/>
      <c r="B97" s="19"/>
      <c r="C97" s="19"/>
      <c r="D97" s="19"/>
      <c r="E97" s="19"/>
      <c r="F97" s="20"/>
      <c r="G97" s="21"/>
      <c r="H97" s="14" t="str">
        <f aca="false">IF(OR($A97="",$D97="",$E97="",$F97=""),"",IFERROR($A97&amp;" / "&amp;IF(AND($F97=1,$D97=$E97),INDEX(Listas!$I$5:$I$25,MATCH($E97,Listas!$H$5:$H$25,0)),INDEX(Listas!$I$5:$I$25,MATCH($E97,Listas!$H$5:$H$25,0))&amp;" X "&amp;TEXT($F97,"0.####")&amp;" "&amp;INDEX(Listas!$I$5:$I$25,MATCH($D97,Listas!$H$5:$H$25,0))),"⚠ revisar la unidad"))</f>
        <v/>
      </c>
      <c r="I97" s="15" t="str">
        <f aca="false">IF(OR($F97="",$G97="",$F97=0),"",$G97/$F97)</f>
        <v/>
      </c>
      <c r="J97" s="22"/>
      <c r="K97" s="22"/>
      <c r="L97" s="22"/>
      <c r="M97" s="22"/>
      <c r="N97" s="22"/>
      <c r="O97" s="22"/>
      <c r="P97" s="23"/>
    </row>
    <row r="98" customFormat="false" ht="15" hidden="false" customHeight="false" outlineLevel="0" collapsed="false">
      <c r="A98" s="18"/>
      <c r="B98" s="19"/>
      <c r="C98" s="19"/>
      <c r="D98" s="19"/>
      <c r="E98" s="19"/>
      <c r="F98" s="20"/>
      <c r="G98" s="21"/>
      <c r="H98" s="14" t="str">
        <f aca="false">IF(OR($A98="",$D98="",$E98="",$F98=""),"",IFERROR($A98&amp;" / "&amp;IF(AND($F98=1,$D98=$E98),INDEX(Listas!$I$5:$I$25,MATCH($E98,Listas!$H$5:$H$25,0)),INDEX(Listas!$I$5:$I$25,MATCH($E98,Listas!$H$5:$H$25,0))&amp;" X "&amp;TEXT($F98,"0.####")&amp;" "&amp;INDEX(Listas!$I$5:$I$25,MATCH($D98,Listas!$H$5:$H$25,0))),"⚠ revisar la unidad"))</f>
        <v/>
      </c>
      <c r="I98" s="15" t="str">
        <f aca="false">IF(OR($F98="",$G98="",$F98=0),"",$G98/$F98)</f>
        <v/>
      </c>
      <c r="J98" s="22"/>
      <c r="K98" s="22"/>
      <c r="L98" s="22"/>
      <c r="M98" s="22"/>
      <c r="N98" s="22"/>
      <c r="O98" s="22"/>
      <c r="P98" s="23"/>
    </row>
    <row r="99" customFormat="false" ht="15" hidden="false" customHeight="false" outlineLevel="0" collapsed="false">
      <c r="A99" s="18"/>
      <c r="B99" s="19"/>
      <c r="C99" s="19"/>
      <c r="D99" s="19"/>
      <c r="E99" s="19"/>
      <c r="F99" s="20"/>
      <c r="G99" s="21"/>
      <c r="H99" s="14" t="str">
        <f aca="false">IF(OR($A99="",$D99="",$E99="",$F99=""),"",IFERROR($A99&amp;" / "&amp;IF(AND($F99=1,$D99=$E99),INDEX(Listas!$I$5:$I$25,MATCH($E99,Listas!$H$5:$H$25,0)),INDEX(Listas!$I$5:$I$25,MATCH($E99,Listas!$H$5:$H$25,0))&amp;" X "&amp;TEXT($F99,"0.####")&amp;" "&amp;INDEX(Listas!$I$5:$I$25,MATCH($D99,Listas!$H$5:$H$25,0))),"⚠ revisar la unidad"))</f>
        <v/>
      </c>
      <c r="I99" s="15" t="str">
        <f aca="false">IF(OR($F99="",$G99="",$F99=0),"",$G99/$F99)</f>
        <v/>
      </c>
      <c r="J99" s="22"/>
      <c r="K99" s="22"/>
      <c r="L99" s="22"/>
      <c r="M99" s="22"/>
      <c r="N99" s="22"/>
      <c r="O99" s="22"/>
      <c r="P99" s="23"/>
    </row>
    <row r="100" customFormat="false" ht="15" hidden="false" customHeight="false" outlineLevel="0" collapsed="false">
      <c r="A100" s="18"/>
      <c r="B100" s="19"/>
      <c r="C100" s="19"/>
      <c r="D100" s="19"/>
      <c r="E100" s="19"/>
      <c r="F100" s="20"/>
      <c r="G100" s="21"/>
      <c r="H100" s="14" t="str">
        <f aca="false">IF(OR($A100="",$D100="",$E100="",$F100=""),"",IFERROR($A100&amp;" / "&amp;IF(AND($F100=1,$D100=$E100),INDEX(Listas!$I$5:$I$25,MATCH($E100,Listas!$H$5:$H$25,0)),INDEX(Listas!$I$5:$I$25,MATCH($E100,Listas!$H$5:$H$25,0))&amp;" X "&amp;TEXT($F100,"0.####")&amp;" "&amp;INDEX(Listas!$I$5:$I$25,MATCH($D100,Listas!$H$5:$H$25,0))),"⚠ revisar la unidad"))</f>
        <v/>
      </c>
      <c r="I100" s="15" t="str">
        <f aca="false">IF(OR($F100="",$G100="",$F100=0),"",$G100/$F100)</f>
        <v/>
      </c>
      <c r="J100" s="22"/>
      <c r="K100" s="22"/>
      <c r="L100" s="22"/>
      <c r="M100" s="22"/>
      <c r="N100" s="22"/>
      <c r="O100" s="22"/>
      <c r="P100" s="23"/>
    </row>
    <row r="101" customFormat="false" ht="15" hidden="false" customHeight="false" outlineLevel="0" collapsed="false">
      <c r="A101" s="18"/>
      <c r="B101" s="19"/>
      <c r="C101" s="19"/>
      <c r="D101" s="19"/>
      <c r="E101" s="19"/>
      <c r="F101" s="20"/>
      <c r="G101" s="21"/>
      <c r="H101" s="14" t="str">
        <f aca="false">IF(OR($A101="",$D101="",$E101="",$F101=""),"",IFERROR($A101&amp;" / "&amp;IF(AND($F101=1,$D101=$E101),INDEX(Listas!$I$5:$I$25,MATCH($E101,Listas!$H$5:$H$25,0)),INDEX(Listas!$I$5:$I$25,MATCH($E101,Listas!$H$5:$H$25,0))&amp;" X "&amp;TEXT($F101,"0.####")&amp;" "&amp;INDEX(Listas!$I$5:$I$25,MATCH($D101,Listas!$H$5:$H$25,0))),"⚠ revisar la unidad"))</f>
        <v/>
      </c>
      <c r="I101" s="15" t="str">
        <f aca="false">IF(OR($F101="",$G101="",$F101=0),"",$G101/$F101)</f>
        <v/>
      </c>
      <c r="J101" s="22"/>
      <c r="K101" s="22"/>
      <c r="L101" s="22"/>
      <c r="M101" s="22"/>
      <c r="N101" s="22"/>
      <c r="O101" s="22"/>
      <c r="P101" s="23"/>
    </row>
    <row r="102" customFormat="false" ht="15" hidden="false" customHeight="false" outlineLevel="0" collapsed="false">
      <c r="A102" s="18"/>
      <c r="B102" s="19"/>
      <c r="C102" s="19"/>
      <c r="D102" s="19"/>
      <c r="E102" s="19"/>
      <c r="F102" s="20"/>
      <c r="G102" s="21"/>
      <c r="H102" s="14" t="str">
        <f aca="false">IF(OR($A102="",$D102="",$E102="",$F102=""),"",IFERROR($A102&amp;" / "&amp;IF(AND($F102=1,$D102=$E102),INDEX(Listas!$I$5:$I$25,MATCH($E102,Listas!$H$5:$H$25,0)),INDEX(Listas!$I$5:$I$25,MATCH($E102,Listas!$H$5:$H$25,0))&amp;" X "&amp;TEXT($F102,"0.####")&amp;" "&amp;INDEX(Listas!$I$5:$I$25,MATCH($D102,Listas!$H$5:$H$25,0))),"⚠ revisar la unidad"))</f>
        <v/>
      </c>
      <c r="I102" s="15" t="str">
        <f aca="false">IF(OR($F102="",$G102="",$F102=0),"",$G102/$F102)</f>
        <v/>
      </c>
      <c r="J102" s="22"/>
      <c r="K102" s="22"/>
      <c r="L102" s="22"/>
      <c r="M102" s="22"/>
      <c r="N102" s="22"/>
      <c r="O102" s="22"/>
      <c r="P102" s="23"/>
    </row>
    <row r="103" customFormat="false" ht="15" hidden="false" customHeight="false" outlineLevel="0" collapsed="false">
      <c r="A103" s="18"/>
      <c r="B103" s="19"/>
      <c r="C103" s="19"/>
      <c r="D103" s="19"/>
      <c r="E103" s="19"/>
      <c r="F103" s="20"/>
      <c r="G103" s="21"/>
      <c r="H103" s="14" t="str">
        <f aca="false">IF(OR($A103="",$D103="",$E103="",$F103=""),"",IFERROR($A103&amp;" / "&amp;IF(AND($F103=1,$D103=$E103),INDEX(Listas!$I$5:$I$25,MATCH($E103,Listas!$H$5:$H$25,0)),INDEX(Listas!$I$5:$I$25,MATCH($E103,Listas!$H$5:$H$25,0))&amp;" X "&amp;TEXT($F103,"0.####")&amp;" "&amp;INDEX(Listas!$I$5:$I$25,MATCH($D103,Listas!$H$5:$H$25,0))),"⚠ revisar la unidad"))</f>
        <v/>
      </c>
      <c r="I103" s="15" t="str">
        <f aca="false">IF(OR($F103="",$G103="",$F103=0),"",$G103/$F103)</f>
        <v/>
      </c>
      <c r="J103" s="22"/>
      <c r="K103" s="22"/>
      <c r="L103" s="22"/>
      <c r="M103" s="22"/>
      <c r="N103" s="22"/>
      <c r="O103" s="22"/>
      <c r="P103" s="23"/>
    </row>
    <row r="104" customFormat="false" ht="15" hidden="false" customHeight="false" outlineLevel="0" collapsed="false">
      <c r="A104" s="18"/>
      <c r="B104" s="19"/>
      <c r="C104" s="19"/>
      <c r="D104" s="19"/>
      <c r="E104" s="19"/>
      <c r="F104" s="20"/>
      <c r="G104" s="21"/>
      <c r="H104" s="14" t="str">
        <f aca="false">IF(OR($A104="",$D104="",$E104="",$F104=""),"",IFERROR($A104&amp;" / "&amp;IF(AND($F104=1,$D104=$E104),INDEX(Listas!$I$5:$I$25,MATCH($E104,Listas!$H$5:$H$25,0)),INDEX(Listas!$I$5:$I$25,MATCH($E104,Listas!$H$5:$H$25,0))&amp;" X "&amp;TEXT($F104,"0.####")&amp;" "&amp;INDEX(Listas!$I$5:$I$25,MATCH($D104,Listas!$H$5:$H$25,0))),"⚠ revisar la unidad"))</f>
        <v/>
      </c>
      <c r="I104" s="15" t="str">
        <f aca="false">IF(OR($F104="",$G104="",$F104=0),"",$G104/$F104)</f>
        <v/>
      </c>
      <c r="J104" s="22"/>
      <c r="K104" s="22"/>
      <c r="L104" s="22"/>
      <c r="M104" s="22"/>
      <c r="N104" s="22"/>
      <c r="O104" s="22"/>
      <c r="P104" s="23"/>
    </row>
    <row r="105" customFormat="false" ht="15" hidden="false" customHeight="false" outlineLevel="0" collapsed="false">
      <c r="A105" s="18"/>
      <c r="B105" s="19"/>
      <c r="C105" s="19"/>
      <c r="D105" s="19"/>
      <c r="E105" s="19"/>
      <c r="F105" s="20"/>
      <c r="G105" s="21"/>
      <c r="H105" s="14" t="str">
        <f aca="false">IF(OR($A105="",$D105="",$E105="",$F105=""),"",IFERROR($A105&amp;" / "&amp;IF(AND($F105=1,$D105=$E105),INDEX(Listas!$I$5:$I$25,MATCH($E105,Listas!$H$5:$H$25,0)),INDEX(Listas!$I$5:$I$25,MATCH($E105,Listas!$H$5:$H$25,0))&amp;" X "&amp;TEXT($F105,"0.####")&amp;" "&amp;INDEX(Listas!$I$5:$I$25,MATCH($D105,Listas!$H$5:$H$25,0))),"⚠ revisar la unidad"))</f>
        <v/>
      </c>
      <c r="I105" s="15" t="str">
        <f aca="false">IF(OR($F105="",$G105="",$F105=0),"",$G105/$F105)</f>
        <v/>
      </c>
      <c r="J105" s="22"/>
      <c r="K105" s="22"/>
      <c r="L105" s="22"/>
      <c r="M105" s="22"/>
      <c r="N105" s="22"/>
      <c r="O105" s="22"/>
      <c r="P105" s="23"/>
    </row>
    <row r="106" customFormat="false" ht="15" hidden="false" customHeight="false" outlineLevel="0" collapsed="false">
      <c r="A106" s="18"/>
      <c r="B106" s="19"/>
      <c r="C106" s="19"/>
      <c r="D106" s="19"/>
      <c r="E106" s="19"/>
      <c r="F106" s="20"/>
      <c r="G106" s="21"/>
      <c r="H106" s="14" t="str">
        <f aca="false">IF(OR($A106="",$D106="",$E106="",$F106=""),"",IFERROR($A106&amp;" / "&amp;IF(AND($F106=1,$D106=$E106),INDEX(Listas!$I$5:$I$25,MATCH($E106,Listas!$H$5:$H$25,0)),INDEX(Listas!$I$5:$I$25,MATCH($E106,Listas!$H$5:$H$25,0))&amp;" X "&amp;TEXT($F106,"0.####")&amp;" "&amp;INDEX(Listas!$I$5:$I$25,MATCH($D106,Listas!$H$5:$H$25,0))),"⚠ revisar la unidad"))</f>
        <v/>
      </c>
      <c r="I106" s="15" t="str">
        <f aca="false">IF(OR($F106="",$G106="",$F106=0),"",$G106/$F106)</f>
        <v/>
      </c>
      <c r="J106" s="22"/>
      <c r="K106" s="22"/>
      <c r="L106" s="22"/>
      <c r="M106" s="22"/>
      <c r="N106" s="22"/>
      <c r="O106" s="22"/>
      <c r="P106" s="23"/>
    </row>
    <row r="107" customFormat="false" ht="15" hidden="false" customHeight="false" outlineLevel="0" collapsed="false">
      <c r="A107" s="18"/>
      <c r="B107" s="19"/>
      <c r="C107" s="19"/>
      <c r="D107" s="19"/>
      <c r="E107" s="19"/>
      <c r="F107" s="20"/>
      <c r="G107" s="21"/>
      <c r="H107" s="14" t="str">
        <f aca="false">IF(OR($A107="",$D107="",$E107="",$F107=""),"",IFERROR($A107&amp;" / "&amp;IF(AND($F107=1,$D107=$E107),INDEX(Listas!$I$5:$I$25,MATCH($E107,Listas!$H$5:$H$25,0)),INDEX(Listas!$I$5:$I$25,MATCH($E107,Listas!$H$5:$H$25,0))&amp;" X "&amp;TEXT($F107,"0.####")&amp;" "&amp;INDEX(Listas!$I$5:$I$25,MATCH($D107,Listas!$H$5:$H$25,0))),"⚠ revisar la unidad"))</f>
        <v/>
      </c>
      <c r="I107" s="15" t="str">
        <f aca="false">IF(OR($F107="",$G107="",$F107=0),"",$G107/$F107)</f>
        <v/>
      </c>
      <c r="J107" s="22"/>
      <c r="K107" s="22"/>
      <c r="L107" s="22"/>
      <c r="M107" s="22"/>
      <c r="N107" s="22"/>
      <c r="O107" s="22"/>
      <c r="P107" s="23"/>
    </row>
    <row r="108" customFormat="false" ht="15" hidden="false" customHeight="false" outlineLevel="0" collapsed="false">
      <c r="A108" s="18"/>
      <c r="B108" s="19"/>
      <c r="C108" s="19"/>
      <c r="D108" s="19"/>
      <c r="E108" s="19"/>
      <c r="F108" s="20"/>
      <c r="G108" s="21"/>
      <c r="H108" s="14" t="str">
        <f aca="false">IF(OR($A108="",$D108="",$E108="",$F108=""),"",IFERROR($A108&amp;" / "&amp;IF(AND($F108=1,$D108=$E108),INDEX(Listas!$I$5:$I$25,MATCH($E108,Listas!$H$5:$H$25,0)),INDEX(Listas!$I$5:$I$25,MATCH($E108,Listas!$H$5:$H$25,0))&amp;" X "&amp;TEXT($F108,"0.####")&amp;" "&amp;INDEX(Listas!$I$5:$I$25,MATCH($D108,Listas!$H$5:$H$25,0))),"⚠ revisar la unidad"))</f>
        <v/>
      </c>
      <c r="I108" s="15" t="str">
        <f aca="false">IF(OR($F108="",$G108="",$F108=0),"",$G108/$F108)</f>
        <v/>
      </c>
      <c r="J108" s="22"/>
      <c r="K108" s="22"/>
      <c r="L108" s="22"/>
      <c r="M108" s="22"/>
      <c r="N108" s="22"/>
      <c r="O108" s="22"/>
      <c r="P108" s="23"/>
    </row>
    <row r="109" customFormat="false" ht="15" hidden="false" customHeight="false" outlineLevel="0" collapsed="false">
      <c r="A109" s="18"/>
      <c r="B109" s="19"/>
      <c r="C109" s="19"/>
      <c r="D109" s="19"/>
      <c r="E109" s="19"/>
      <c r="F109" s="20"/>
      <c r="G109" s="21"/>
      <c r="H109" s="14" t="str">
        <f aca="false">IF(OR($A109="",$D109="",$E109="",$F109=""),"",IFERROR($A109&amp;" / "&amp;IF(AND($F109=1,$D109=$E109),INDEX(Listas!$I$5:$I$25,MATCH($E109,Listas!$H$5:$H$25,0)),INDEX(Listas!$I$5:$I$25,MATCH($E109,Listas!$H$5:$H$25,0))&amp;" X "&amp;TEXT($F109,"0.####")&amp;" "&amp;INDEX(Listas!$I$5:$I$25,MATCH($D109,Listas!$H$5:$H$25,0))),"⚠ revisar la unidad"))</f>
        <v/>
      </c>
      <c r="I109" s="15" t="str">
        <f aca="false">IF(OR($F109="",$G109="",$F109=0),"",$G109/$F109)</f>
        <v/>
      </c>
      <c r="J109" s="22"/>
      <c r="K109" s="22"/>
      <c r="L109" s="22"/>
      <c r="M109" s="22"/>
      <c r="N109" s="22"/>
      <c r="O109" s="22"/>
      <c r="P109" s="23"/>
    </row>
    <row r="110" customFormat="false" ht="15" hidden="false" customHeight="false" outlineLevel="0" collapsed="false">
      <c r="A110" s="18"/>
      <c r="B110" s="19"/>
      <c r="C110" s="19"/>
      <c r="D110" s="19"/>
      <c r="E110" s="19"/>
      <c r="F110" s="20"/>
      <c r="G110" s="21"/>
      <c r="H110" s="14" t="str">
        <f aca="false">IF(OR($A110="",$D110="",$E110="",$F110=""),"",IFERROR($A110&amp;" / "&amp;IF(AND($F110=1,$D110=$E110),INDEX(Listas!$I$5:$I$25,MATCH($E110,Listas!$H$5:$H$25,0)),INDEX(Listas!$I$5:$I$25,MATCH($E110,Listas!$H$5:$H$25,0))&amp;" X "&amp;TEXT($F110,"0.####")&amp;" "&amp;INDEX(Listas!$I$5:$I$25,MATCH($D110,Listas!$H$5:$H$25,0))),"⚠ revisar la unidad"))</f>
        <v/>
      </c>
      <c r="I110" s="15" t="str">
        <f aca="false">IF(OR($F110="",$G110="",$F110=0),"",$G110/$F110)</f>
        <v/>
      </c>
      <c r="J110" s="22"/>
      <c r="K110" s="22"/>
      <c r="L110" s="22"/>
      <c r="M110" s="22"/>
      <c r="N110" s="22"/>
      <c r="O110" s="22"/>
      <c r="P110" s="23"/>
    </row>
    <row r="111" customFormat="false" ht="15" hidden="false" customHeight="false" outlineLevel="0" collapsed="false">
      <c r="A111" s="18"/>
      <c r="B111" s="19"/>
      <c r="C111" s="19"/>
      <c r="D111" s="19"/>
      <c r="E111" s="19"/>
      <c r="F111" s="20"/>
      <c r="G111" s="21"/>
      <c r="H111" s="14" t="str">
        <f aca="false">IF(OR($A111="",$D111="",$E111="",$F111=""),"",IFERROR($A111&amp;" / "&amp;IF(AND($F111=1,$D111=$E111),INDEX(Listas!$I$5:$I$25,MATCH($E111,Listas!$H$5:$H$25,0)),INDEX(Listas!$I$5:$I$25,MATCH($E111,Listas!$H$5:$H$25,0))&amp;" X "&amp;TEXT($F111,"0.####")&amp;" "&amp;INDEX(Listas!$I$5:$I$25,MATCH($D111,Listas!$H$5:$H$25,0))),"⚠ revisar la unidad"))</f>
        <v/>
      </c>
      <c r="I111" s="15" t="str">
        <f aca="false">IF(OR($F111="",$G111="",$F111=0),"",$G111/$F111)</f>
        <v/>
      </c>
      <c r="J111" s="22"/>
      <c r="K111" s="22"/>
      <c r="L111" s="22"/>
      <c r="M111" s="22"/>
      <c r="N111" s="22"/>
      <c r="O111" s="22"/>
      <c r="P111" s="23"/>
    </row>
    <row r="112" customFormat="false" ht="15" hidden="false" customHeight="false" outlineLevel="0" collapsed="false">
      <c r="A112" s="18"/>
      <c r="B112" s="19"/>
      <c r="C112" s="19"/>
      <c r="D112" s="19"/>
      <c r="E112" s="19"/>
      <c r="F112" s="20"/>
      <c r="G112" s="21"/>
      <c r="H112" s="14" t="str">
        <f aca="false">IF(OR($A112="",$D112="",$E112="",$F112=""),"",IFERROR($A112&amp;" / "&amp;IF(AND($F112=1,$D112=$E112),INDEX(Listas!$I$5:$I$25,MATCH($E112,Listas!$H$5:$H$25,0)),INDEX(Listas!$I$5:$I$25,MATCH($E112,Listas!$H$5:$H$25,0))&amp;" X "&amp;TEXT($F112,"0.####")&amp;" "&amp;INDEX(Listas!$I$5:$I$25,MATCH($D112,Listas!$H$5:$H$25,0))),"⚠ revisar la unidad"))</f>
        <v/>
      </c>
      <c r="I112" s="15" t="str">
        <f aca="false">IF(OR($F112="",$G112="",$F112=0),"",$G112/$F112)</f>
        <v/>
      </c>
      <c r="J112" s="22"/>
      <c r="K112" s="22"/>
      <c r="L112" s="22"/>
      <c r="M112" s="22"/>
      <c r="N112" s="22"/>
      <c r="O112" s="22"/>
      <c r="P112" s="23"/>
    </row>
    <row r="113" customFormat="false" ht="15" hidden="false" customHeight="false" outlineLevel="0" collapsed="false">
      <c r="A113" s="18"/>
      <c r="B113" s="19"/>
      <c r="C113" s="19"/>
      <c r="D113" s="19"/>
      <c r="E113" s="19"/>
      <c r="F113" s="20"/>
      <c r="G113" s="21"/>
      <c r="H113" s="14" t="str">
        <f aca="false">IF(OR($A113="",$D113="",$E113="",$F113=""),"",IFERROR($A113&amp;" / "&amp;IF(AND($F113=1,$D113=$E113),INDEX(Listas!$I$5:$I$25,MATCH($E113,Listas!$H$5:$H$25,0)),INDEX(Listas!$I$5:$I$25,MATCH($E113,Listas!$H$5:$H$25,0))&amp;" X "&amp;TEXT($F113,"0.####")&amp;" "&amp;INDEX(Listas!$I$5:$I$25,MATCH($D113,Listas!$H$5:$H$25,0))),"⚠ revisar la unidad"))</f>
        <v/>
      </c>
      <c r="I113" s="15" t="str">
        <f aca="false">IF(OR($F113="",$G113="",$F113=0),"",$G113/$F113)</f>
        <v/>
      </c>
      <c r="J113" s="22"/>
      <c r="K113" s="22"/>
      <c r="L113" s="22"/>
      <c r="M113" s="22"/>
      <c r="N113" s="22"/>
      <c r="O113" s="22"/>
      <c r="P113" s="23"/>
    </row>
    <row r="114" customFormat="false" ht="15" hidden="false" customHeight="false" outlineLevel="0" collapsed="false">
      <c r="A114" s="18"/>
      <c r="B114" s="19"/>
      <c r="C114" s="19"/>
      <c r="D114" s="19"/>
      <c r="E114" s="19"/>
      <c r="F114" s="20"/>
      <c r="G114" s="21"/>
      <c r="H114" s="14" t="str">
        <f aca="false">IF(OR($A114="",$D114="",$E114="",$F114=""),"",IFERROR($A114&amp;" / "&amp;IF(AND($F114=1,$D114=$E114),INDEX(Listas!$I$5:$I$25,MATCH($E114,Listas!$H$5:$H$25,0)),INDEX(Listas!$I$5:$I$25,MATCH($E114,Listas!$H$5:$H$25,0))&amp;" X "&amp;TEXT($F114,"0.####")&amp;" "&amp;INDEX(Listas!$I$5:$I$25,MATCH($D114,Listas!$H$5:$H$25,0))),"⚠ revisar la unidad"))</f>
        <v/>
      </c>
      <c r="I114" s="15" t="str">
        <f aca="false">IF(OR($F114="",$G114="",$F114=0),"",$G114/$F114)</f>
        <v/>
      </c>
      <c r="J114" s="22"/>
      <c r="K114" s="22"/>
      <c r="L114" s="22"/>
      <c r="M114" s="22"/>
      <c r="N114" s="22"/>
      <c r="O114" s="22"/>
      <c r="P114" s="23"/>
    </row>
    <row r="115" customFormat="false" ht="15" hidden="false" customHeight="false" outlineLevel="0" collapsed="false">
      <c r="A115" s="18"/>
      <c r="B115" s="19"/>
      <c r="C115" s="19"/>
      <c r="D115" s="19"/>
      <c r="E115" s="19"/>
      <c r="F115" s="20"/>
      <c r="G115" s="21"/>
      <c r="H115" s="14" t="str">
        <f aca="false">IF(OR($A115="",$D115="",$E115="",$F115=""),"",IFERROR($A115&amp;" / "&amp;IF(AND($F115=1,$D115=$E115),INDEX(Listas!$I$5:$I$25,MATCH($E115,Listas!$H$5:$H$25,0)),INDEX(Listas!$I$5:$I$25,MATCH($E115,Listas!$H$5:$H$25,0))&amp;" X "&amp;TEXT($F115,"0.####")&amp;" "&amp;INDEX(Listas!$I$5:$I$25,MATCH($D115,Listas!$H$5:$H$25,0))),"⚠ revisar la unidad"))</f>
        <v/>
      </c>
      <c r="I115" s="15" t="str">
        <f aca="false">IF(OR($F115="",$G115="",$F115=0),"",$G115/$F115)</f>
        <v/>
      </c>
      <c r="J115" s="22"/>
      <c r="K115" s="22"/>
      <c r="L115" s="22"/>
      <c r="M115" s="22"/>
      <c r="N115" s="22"/>
      <c r="O115" s="22"/>
      <c r="P115" s="23"/>
    </row>
    <row r="116" customFormat="false" ht="15" hidden="false" customHeight="false" outlineLevel="0" collapsed="false">
      <c r="A116" s="18"/>
      <c r="B116" s="19"/>
      <c r="C116" s="19"/>
      <c r="D116" s="19"/>
      <c r="E116" s="19"/>
      <c r="F116" s="20"/>
      <c r="G116" s="21"/>
      <c r="H116" s="14" t="str">
        <f aca="false">IF(OR($A116="",$D116="",$E116="",$F116=""),"",IFERROR($A116&amp;" / "&amp;IF(AND($F116=1,$D116=$E116),INDEX(Listas!$I$5:$I$25,MATCH($E116,Listas!$H$5:$H$25,0)),INDEX(Listas!$I$5:$I$25,MATCH($E116,Listas!$H$5:$H$25,0))&amp;" X "&amp;TEXT($F116,"0.####")&amp;" "&amp;INDEX(Listas!$I$5:$I$25,MATCH($D116,Listas!$H$5:$H$25,0))),"⚠ revisar la unidad"))</f>
        <v/>
      </c>
      <c r="I116" s="15" t="str">
        <f aca="false">IF(OR($F116="",$G116="",$F116=0),"",$G116/$F116)</f>
        <v/>
      </c>
      <c r="J116" s="22"/>
      <c r="K116" s="22"/>
      <c r="L116" s="22"/>
      <c r="M116" s="22"/>
      <c r="N116" s="22"/>
      <c r="O116" s="22"/>
      <c r="P116" s="23"/>
    </row>
    <row r="117" customFormat="false" ht="15" hidden="false" customHeight="false" outlineLevel="0" collapsed="false">
      <c r="A117" s="18"/>
      <c r="B117" s="19"/>
      <c r="C117" s="19"/>
      <c r="D117" s="19"/>
      <c r="E117" s="19"/>
      <c r="F117" s="20"/>
      <c r="G117" s="21"/>
      <c r="H117" s="14" t="str">
        <f aca="false">IF(OR($A117="",$D117="",$E117="",$F117=""),"",IFERROR($A117&amp;" / "&amp;IF(AND($F117=1,$D117=$E117),INDEX(Listas!$I$5:$I$25,MATCH($E117,Listas!$H$5:$H$25,0)),INDEX(Listas!$I$5:$I$25,MATCH($E117,Listas!$H$5:$H$25,0))&amp;" X "&amp;TEXT($F117,"0.####")&amp;" "&amp;INDEX(Listas!$I$5:$I$25,MATCH($D117,Listas!$H$5:$H$25,0))),"⚠ revisar la unidad"))</f>
        <v/>
      </c>
      <c r="I117" s="15" t="str">
        <f aca="false">IF(OR($F117="",$G117="",$F117=0),"",$G117/$F117)</f>
        <v/>
      </c>
      <c r="J117" s="22"/>
      <c r="K117" s="22"/>
      <c r="L117" s="22"/>
      <c r="M117" s="22"/>
      <c r="N117" s="22"/>
      <c r="O117" s="22"/>
      <c r="P117" s="23"/>
    </row>
    <row r="118" customFormat="false" ht="15" hidden="false" customHeight="false" outlineLevel="0" collapsed="false">
      <c r="A118" s="18"/>
      <c r="B118" s="19"/>
      <c r="C118" s="19"/>
      <c r="D118" s="19"/>
      <c r="E118" s="19"/>
      <c r="F118" s="20"/>
      <c r="G118" s="21"/>
      <c r="H118" s="14" t="str">
        <f aca="false">IF(OR($A118="",$D118="",$E118="",$F118=""),"",IFERROR($A118&amp;" / "&amp;IF(AND($F118=1,$D118=$E118),INDEX(Listas!$I$5:$I$25,MATCH($E118,Listas!$H$5:$H$25,0)),INDEX(Listas!$I$5:$I$25,MATCH($E118,Listas!$H$5:$H$25,0))&amp;" X "&amp;TEXT($F118,"0.####")&amp;" "&amp;INDEX(Listas!$I$5:$I$25,MATCH($D118,Listas!$H$5:$H$25,0))),"⚠ revisar la unidad"))</f>
        <v/>
      </c>
      <c r="I118" s="15" t="str">
        <f aca="false">IF(OR($F118="",$G118="",$F118=0),"",$G118/$F118)</f>
        <v/>
      </c>
      <c r="J118" s="22"/>
      <c r="K118" s="22"/>
      <c r="L118" s="22"/>
      <c r="M118" s="22"/>
      <c r="N118" s="22"/>
      <c r="O118" s="22"/>
      <c r="P118" s="23"/>
    </row>
    <row r="119" customFormat="false" ht="15" hidden="false" customHeight="false" outlineLevel="0" collapsed="false">
      <c r="A119" s="18"/>
      <c r="B119" s="19"/>
      <c r="C119" s="19"/>
      <c r="D119" s="19"/>
      <c r="E119" s="19"/>
      <c r="F119" s="20"/>
      <c r="G119" s="21"/>
      <c r="H119" s="14" t="str">
        <f aca="false">IF(OR($A119="",$D119="",$E119="",$F119=""),"",IFERROR($A119&amp;" / "&amp;IF(AND($F119=1,$D119=$E119),INDEX(Listas!$I$5:$I$25,MATCH($E119,Listas!$H$5:$H$25,0)),INDEX(Listas!$I$5:$I$25,MATCH($E119,Listas!$H$5:$H$25,0))&amp;" X "&amp;TEXT($F119,"0.####")&amp;" "&amp;INDEX(Listas!$I$5:$I$25,MATCH($D119,Listas!$H$5:$H$25,0))),"⚠ revisar la unidad"))</f>
        <v/>
      </c>
      <c r="I119" s="15" t="str">
        <f aca="false">IF(OR($F119="",$G119="",$F119=0),"",$G119/$F119)</f>
        <v/>
      </c>
      <c r="J119" s="22"/>
      <c r="K119" s="22"/>
      <c r="L119" s="22"/>
      <c r="M119" s="22"/>
      <c r="N119" s="22"/>
      <c r="O119" s="22"/>
      <c r="P119" s="23"/>
    </row>
    <row r="120" customFormat="false" ht="15" hidden="false" customHeight="false" outlineLevel="0" collapsed="false">
      <c r="A120" s="18"/>
      <c r="B120" s="19"/>
      <c r="C120" s="19"/>
      <c r="D120" s="19"/>
      <c r="E120" s="19"/>
      <c r="F120" s="20"/>
      <c r="G120" s="21"/>
      <c r="H120" s="14" t="str">
        <f aca="false">IF(OR($A120="",$D120="",$E120="",$F120=""),"",IFERROR($A120&amp;" / "&amp;IF(AND($F120=1,$D120=$E120),INDEX(Listas!$I$5:$I$25,MATCH($E120,Listas!$H$5:$H$25,0)),INDEX(Listas!$I$5:$I$25,MATCH($E120,Listas!$H$5:$H$25,0))&amp;" X "&amp;TEXT($F120,"0.####")&amp;" "&amp;INDEX(Listas!$I$5:$I$25,MATCH($D120,Listas!$H$5:$H$25,0))),"⚠ revisar la unidad"))</f>
        <v/>
      </c>
      <c r="I120" s="15" t="str">
        <f aca="false">IF(OR($F120="",$G120="",$F120=0),"",$G120/$F120)</f>
        <v/>
      </c>
      <c r="J120" s="22"/>
      <c r="K120" s="22"/>
      <c r="L120" s="22"/>
      <c r="M120" s="22"/>
      <c r="N120" s="22"/>
      <c r="O120" s="22"/>
      <c r="P120" s="23"/>
    </row>
    <row r="121" customFormat="false" ht="15" hidden="false" customHeight="false" outlineLevel="0" collapsed="false">
      <c r="A121" s="18"/>
      <c r="B121" s="19"/>
      <c r="C121" s="19"/>
      <c r="D121" s="19"/>
      <c r="E121" s="19"/>
      <c r="F121" s="20"/>
      <c r="G121" s="21"/>
      <c r="H121" s="14" t="str">
        <f aca="false">IF(OR($A121="",$D121="",$E121="",$F121=""),"",IFERROR($A121&amp;" / "&amp;IF(AND($F121=1,$D121=$E121),INDEX(Listas!$I$5:$I$25,MATCH($E121,Listas!$H$5:$H$25,0)),INDEX(Listas!$I$5:$I$25,MATCH($E121,Listas!$H$5:$H$25,0))&amp;" X "&amp;TEXT($F121,"0.####")&amp;" "&amp;INDEX(Listas!$I$5:$I$25,MATCH($D121,Listas!$H$5:$H$25,0))),"⚠ revisar la unidad"))</f>
        <v/>
      </c>
      <c r="I121" s="15" t="str">
        <f aca="false">IF(OR($F121="",$G121="",$F121=0),"",$G121/$F121)</f>
        <v/>
      </c>
      <c r="J121" s="22"/>
      <c r="K121" s="22"/>
      <c r="L121" s="22"/>
      <c r="M121" s="22"/>
      <c r="N121" s="22"/>
      <c r="O121" s="22"/>
      <c r="P121" s="23"/>
    </row>
    <row r="122" customFormat="false" ht="15" hidden="false" customHeight="false" outlineLevel="0" collapsed="false">
      <c r="A122" s="18"/>
      <c r="B122" s="19"/>
      <c r="C122" s="19"/>
      <c r="D122" s="19"/>
      <c r="E122" s="19"/>
      <c r="F122" s="20"/>
      <c r="G122" s="21"/>
      <c r="H122" s="14" t="str">
        <f aca="false">IF(OR($A122="",$D122="",$E122="",$F122=""),"",IFERROR($A122&amp;" / "&amp;IF(AND($F122=1,$D122=$E122),INDEX(Listas!$I$5:$I$25,MATCH($E122,Listas!$H$5:$H$25,0)),INDEX(Listas!$I$5:$I$25,MATCH($E122,Listas!$H$5:$H$25,0))&amp;" X "&amp;TEXT($F122,"0.####")&amp;" "&amp;INDEX(Listas!$I$5:$I$25,MATCH($D122,Listas!$H$5:$H$25,0))),"⚠ revisar la unidad"))</f>
        <v/>
      </c>
      <c r="I122" s="15" t="str">
        <f aca="false">IF(OR($F122="",$G122="",$F122=0),"",$G122/$F122)</f>
        <v/>
      </c>
      <c r="J122" s="22"/>
      <c r="K122" s="22"/>
      <c r="L122" s="22"/>
      <c r="M122" s="22"/>
      <c r="N122" s="22"/>
      <c r="O122" s="22"/>
      <c r="P122" s="23"/>
    </row>
    <row r="123" customFormat="false" ht="15" hidden="false" customHeight="false" outlineLevel="0" collapsed="false">
      <c r="A123" s="18"/>
      <c r="B123" s="19"/>
      <c r="C123" s="19"/>
      <c r="D123" s="19"/>
      <c r="E123" s="19"/>
      <c r="F123" s="20"/>
      <c r="G123" s="21"/>
      <c r="H123" s="14" t="str">
        <f aca="false">IF(OR($A123="",$D123="",$E123="",$F123=""),"",IFERROR($A123&amp;" / "&amp;IF(AND($F123=1,$D123=$E123),INDEX(Listas!$I$5:$I$25,MATCH($E123,Listas!$H$5:$H$25,0)),INDEX(Listas!$I$5:$I$25,MATCH($E123,Listas!$H$5:$H$25,0))&amp;" X "&amp;TEXT($F123,"0.####")&amp;" "&amp;INDEX(Listas!$I$5:$I$25,MATCH($D123,Listas!$H$5:$H$25,0))),"⚠ revisar la unidad"))</f>
        <v/>
      </c>
      <c r="I123" s="15" t="str">
        <f aca="false">IF(OR($F123="",$G123="",$F123=0),"",$G123/$F123)</f>
        <v/>
      </c>
      <c r="J123" s="22"/>
      <c r="K123" s="22"/>
      <c r="L123" s="22"/>
      <c r="M123" s="22"/>
      <c r="N123" s="22"/>
      <c r="O123" s="22"/>
      <c r="P123" s="23"/>
    </row>
    <row r="124" customFormat="false" ht="15" hidden="false" customHeight="false" outlineLevel="0" collapsed="false">
      <c r="A124" s="18"/>
      <c r="B124" s="19"/>
      <c r="C124" s="19"/>
      <c r="D124" s="19"/>
      <c r="E124" s="19"/>
      <c r="F124" s="20"/>
      <c r="G124" s="21"/>
      <c r="H124" s="14" t="str">
        <f aca="false">IF(OR($A124="",$D124="",$E124="",$F124=""),"",IFERROR($A124&amp;" / "&amp;IF(AND($F124=1,$D124=$E124),INDEX(Listas!$I$5:$I$25,MATCH($E124,Listas!$H$5:$H$25,0)),INDEX(Listas!$I$5:$I$25,MATCH($E124,Listas!$H$5:$H$25,0))&amp;" X "&amp;TEXT($F124,"0.####")&amp;" "&amp;INDEX(Listas!$I$5:$I$25,MATCH($D124,Listas!$H$5:$H$25,0))),"⚠ revisar la unidad"))</f>
        <v/>
      </c>
      <c r="I124" s="15" t="str">
        <f aca="false">IF(OR($F124="",$G124="",$F124=0),"",$G124/$F124)</f>
        <v/>
      </c>
      <c r="J124" s="22"/>
      <c r="K124" s="22"/>
      <c r="L124" s="22"/>
      <c r="M124" s="22"/>
      <c r="N124" s="22"/>
      <c r="O124" s="22"/>
      <c r="P124" s="23"/>
    </row>
    <row r="125" customFormat="false" ht="15" hidden="false" customHeight="false" outlineLevel="0" collapsed="false">
      <c r="A125" s="18"/>
      <c r="B125" s="19"/>
      <c r="C125" s="19"/>
      <c r="D125" s="19"/>
      <c r="E125" s="19"/>
      <c r="F125" s="20"/>
      <c r="G125" s="21"/>
      <c r="H125" s="14" t="str">
        <f aca="false">IF(OR($A125="",$D125="",$E125="",$F125=""),"",IFERROR($A125&amp;" / "&amp;IF(AND($F125=1,$D125=$E125),INDEX(Listas!$I$5:$I$25,MATCH($E125,Listas!$H$5:$H$25,0)),INDEX(Listas!$I$5:$I$25,MATCH($E125,Listas!$H$5:$H$25,0))&amp;" X "&amp;TEXT($F125,"0.####")&amp;" "&amp;INDEX(Listas!$I$5:$I$25,MATCH($D125,Listas!$H$5:$H$25,0))),"⚠ revisar la unidad"))</f>
        <v/>
      </c>
      <c r="I125" s="15" t="str">
        <f aca="false">IF(OR($F125="",$G125="",$F125=0),"",$G125/$F125)</f>
        <v/>
      </c>
      <c r="J125" s="22"/>
      <c r="K125" s="22"/>
      <c r="L125" s="22"/>
      <c r="M125" s="22"/>
      <c r="N125" s="22"/>
      <c r="O125" s="22"/>
      <c r="P125" s="23"/>
    </row>
    <row r="126" customFormat="false" ht="15" hidden="false" customHeight="false" outlineLevel="0" collapsed="false">
      <c r="A126" s="18"/>
      <c r="B126" s="19"/>
      <c r="C126" s="19"/>
      <c r="D126" s="19"/>
      <c r="E126" s="19"/>
      <c r="F126" s="20"/>
      <c r="G126" s="21"/>
      <c r="H126" s="14" t="str">
        <f aca="false">IF(OR($A126="",$D126="",$E126="",$F126=""),"",IFERROR($A126&amp;" / "&amp;IF(AND($F126=1,$D126=$E126),INDEX(Listas!$I$5:$I$25,MATCH($E126,Listas!$H$5:$H$25,0)),INDEX(Listas!$I$5:$I$25,MATCH($E126,Listas!$H$5:$H$25,0))&amp;" X "&amp;TEXT($F126,"0.####")&amp;" "&amp;INDEX(Listas!$I$5:$I$25,MATCH($D126,Listas!$H$5:$H$25,0))),"⚠ revisar la unidad"))</f>
        <v/>
      </c>
      <c r="I126" s="15" t="str">
        <f aca="false">IF(OR($F126="",$G126="",$F126=0),"",$G126/$F126)</f>
        <v/>
      </c>
      <c r="J126" s="22"/>
      <c r="K126" s="22"/>
      <c r="L126" s="22"/>
      <c r="M126" s="22"/>
      <c r="N126" s="22"/>
      <c r="O126" s="22"/>
      <c r="P126" s="23"/>
    </row>
    <row r="127" customFormat="false" ht="15" hidden="false" customHeight="false" outlineLevel="0" collapsed="false">
      <c r="A127" s="18"/>
      <c r="B127" s="19"/>
      <c r="C127" s="19"/>
      <c r="D127" s="19"/>
      <c r="E127" s="19"/>
      <c r="F127" s="20"/>
      <c r="G127" s="21"/>
      <c r="H127" s="14" t="str">
        <f aca="false">IF(OR($A127="",$D127="",$E127="",$F127=""),"",IFERROR($A127&amp;" / "&amp;IF(AND($F127=1,$D127=$E127),INDEX(Listas!$I$5:$I$25,MATCH($E127,Listas!$H$5:$H$25,0)),INDEX(Listas!$I$5:$I$25,MATCH($E127,Listas!$H$5:$H$25,0))&amp;" X "&amp;TEXT($F127,"0.####")&amp;" "&amp;INDEX(Listas!$I$5:$I$25,MATCH($D127,Listas!$H$5:$H$25,0))),"⚠ revisar la unidad"))</f>
        <v/>
      </c>
      <c r="I127" s="15" t="str">
        <f aca="false">IF(OR($F127="",$G127="",$F127=0),"",$G127/$F127)</f>
        <v/>
      </c>
      <c r="J127" s="22"/>
      <c r="K127" s="22"/>
      <c r="L127" s="22"/>
      <c r="M127" s="22"/>
      <c r="N127" s="22"/>
      <c r="O127" s="22"/>
      <c r="P127" s="23"/>
    </row>
    <row r="128" customFormat="false" ht="15" hidden="false" customHeight="false" outlineLevel="0" collapsed="false">
      <c r="A128" s="18"/>
      <c r="B128" s="19"/>
      <c r="C128" s="19"/>
      <c r="D128" s="19"/>
      <c r="E128" s="19"/>
      <c r="F128" s="20"/>
      <c r="G128" s="21"/>
      <c r="H128" s="14" t="str">
        <f aca="false">IF(OR($A128="",$D128="",$E128="",$F128=""),"",IFERROR($A128&amp;" / "&amp;IF(AND($F128=1,$D128=$E128),INDEX(Listas!$I$5:$I$25,MATCH($E128,Listas!$H$5:$H$25,0)),INDEX(Listas!$I$5:$I$25,MATCH($E128,Listas!$H$5:$H$25,0))&amp;" X "&amp;TEXT($F128,"0.####")&amp;" "&amp;INDEX(Listas!$I$5:$I$25,MATCH($D128,Listas!$H$5:$H$25,0))),"⚠ revisar la unidad"))</f>
        <v/>
      </c>
      <c r="I128" s="15" t="str">
        <f aca="false">IF(OR($F128="",$G128="",$F128=0),"",$G128/$F128)</f>
        <v/>
      </c>
      <c r="J128" s="22"/>
      <c r="K128" s="22"/>
      <c r="L128" s="22"/>
      <c r="M128" s="22"/>
      <c r="N128" s="22"/>
      <c r="O128" s="22"/>
      <c r="P128" s="23"/>
    </row>
    <row r="129" customFormat="false" ht="15" hidden="false" customHeight="false" outlineLevel="0" collapsed="false">
      <c r="A129" s="18"/>
      <c r="B129" s="19"/>
      <c r="C129" s="19"/>
      <c r="D129" s="19"/>
      <c r="E129" s="19"/>
      <c r="F129" s="20"/>
      <c r="G129" s="21"/>
      <c r="H129" s="14" t="str">
        <f aca="false">IF(OR($A129="",$D129="",$E129="",$F129=""),"",IFERROR($A129&amp;" / "&amp;IF(AND($F129=1,$D129=$E129),INDEX(Listas!$I$5:$I$25,MATCH($E129,Listas!$H$5:$H$25,0)),INDEX(Listas!$I$5:$I$25,MATCH($E129,Listas!$H$5:$H$25,0))&amp;" X "&amp;TEXT($F129,"0.####")&amp;" "&amp;INDEX(Listas!$I$5:$I$25,MATCH($D129,Listas!$H$5:$H$25,0))),"⚠ revisar la unidad"))</f>
        <v/>
      </c>
      <c r="I129" s="15" t="str">
        <f aca="false">IF(OR($F129="",$G129="",$F129=0),"",$G129/$F129)</f>
        <v/>
      </c>
      <c r="J129" s="22"/>
      <c r="K129" s="22"/>
      <c r="L129" s="22"/>
      <c r="M129" s="22"/>
      <c r="N129" s="22"/>
      <c r="O129" s="22"/>
      <c r="P129" s="23"/>
    </row>
    <row r="130" customFormat="false" ht="15" hidden="false" customHeight="false" outlineLevel="0" collapsed="false">
      <c r="A130" s="18"/>
      <c r="B130" s="19"/>
      <c r="C130" s="19"/>
      <c r="D130" s="19"/>
      <c r="E130" s="19"/>
      <c r="F130" s="20"/>
      <c r="G130" s="21"/>
      <c r="H130" s="14" t="str">
        <f aca="false">IF(OR($A130="",$D130="",$E130="",$F130=""),"",IFERROR($A130&amp;" / "&amp;IF(AND($F130=1,$D130=$E130),INDEX(Listas!$I$5:$I$25,MATCH($E130,Listas!$H$5:$H$25,0)),INDEX(Listas!$I$5:$I$25,MATCH($E130,Listas!$H$5:$H$25,0))&amp;" X "&amp;TEXT($F130,"0.####")&amp;" "&amp;INDEX(Listas!$I$5:$I$25,MATCH($D130,Listas!$H$5:$H$25,0))),"⚠ revisar la unidad"))</f>
        <v/>
      </c>
      <c r="I130" s="15" t="str">
        <f aca="false">IF(OR($F130="",$G130="",$F130=0),"",$G130/$F130)</f>
        <v/>
      </c>
      <c r="J130" s="22"/>
      <c r="K130" s="22"/>
      <c r="L130" s="22"/>
      <c r="M130" s="22"/>
      <c r="N130" s="22"/>
      <c r="O130" s="22"/>
      <c r="P130" s="23"/>
    </row>
    <row r="131" customFormat="false" ht="15" hidden="false" customHeight="false" outlineLevel="0" collapsed="false">
      <c r="A131" s="18"/>
      <c r="B131" s="19"/>
      <c r="C131" s="19"/>
      <c r="D131" s="19"/>
      <c r="E131" s="19"/>
      <c r="F131" s="20"/>
      <c r="G131" s="21"/>
      <c r="H131" s="14" t="str">
        <f aca="false">IF(OR($A131="",$D131="",$E131="",$F131=""),"",IFERROR($A131&amp;" / "&amp;IF(AND($F131=1,$D131=$E131),INDEX(Listas!$I$5:$I$25,MATCH($E131,Listas!$H$5:$H$25,0)),INDEX(Listas!$I$5:$I$25,MATCH($E131,Listas!$H$5:$H$25,0))&amp;" X "&amp;TEXT($F131,"0.####")&amp;" "&amp;INDEX(Listas!$I$5:$I$25,MATCH($D131,Listas!$H$5:$H$25,0))),"⚠ revisar la unidad"))</f>
        <v/>
      </c>
      <c r="I131" s="15" t="str">
        <f aca="false">IF(OR($F131="",$G131="",$F131=0),"",$G131/$F131)</f>
        <v/>
      </c>
      <c r="J131" s="22"/>
      <c r="K131" s="22"/>
      <c r="L131" s="22"/>
      <c r="M131" s="22"/>
      <c r="N131" s="22"/>
      <c r="O131" s="22"/>
      <c r="P131" s="23"/>
    </row>
    <row r="132" customFormat="false" ht="15" hidden="false" customHeight="false" outlineLevel="0" collapsed="false">
      <c r="A132" s="18"/>
      <c r="B132" s="19"/>
      <c r="C132" s="19"/>
      <c r="D132" s="19"/>
      <c r="E132" s="19"/>
      <c r="F132" s="20"/>
      <c r="G132" s="21"/>
      <c r="H132" s="14" t="str">
        <f aca="false">IF(OR($A132="",$D132="",$E132="",$F132=""),"",IFERROR($A132&amp;" / "&amp;IF(AND($F132=1,$D132=$E132),INDEX(Listas!$I$5:$I$25,MATCH($E132,Listas!$H$5:$H$25,0)),INDEX(Listas!$I$5:$I$25,MATCH($E132,Listas!$H$5:$H$25,0))&amp;" X "&amp;TEXT($F132,"0.####")&amp;" "&amp;INDEX(Listas!$I$5:$I$25,MATCH($D132,Listas!$H$5:$H$25,0))),"⚠ revisar la unidad"))</f>
        <v/>
      </c>
      <c r="I132" s="15" t="str">
        <f aca="false">IF(OR($F132="",$G132="",$F132=0),"",$G132/$F132)</f>
        <v/>
      </c>
      <c r="J132" s="22"/>
      <c r="K132" s="22"/>
      <c r="L132" s="22"/>
      <c r="M132" s="22"/>
      <c r="N132" s="22"/>
      <c r="O132" s="22"/>
      <c r="P132" s="23"/>
    </row>
    <row r="133" customFormat="false" ht="15" hidden="false" customHeight="false" outlineLevel="0" collapsed="false">
      <c r="A133" s="18"/>
      <c r="B133" s="19"/>
      <c r="C133" s="19"/>
      <c r="D133" s="19"/>
      <c r="E133" s="19"/>
      <c r="F133" s="20"/>
      <c r="G133" s="21"/>
      <c r="H133" s="14" t="str">
        <f aca="false">IF(OR($A133="",$D133="",$E133="",$F133=""),"",IFERROR($A133&amp;" / "&amp;IF(AND($F133=1,$D133=$E133),INDEX(Listas!$I$5:$I$25,MATCH($E133,Listas!$H$5:$H$25,0)),INDEX(Listas!$I$5:$I$25,MATCH($E133,Listas!$H$5:$H$25,0))&amp;" X "&amp;TEXT($F133,"0.####")&amp;" "&amp;INDEX(Listas!$I$5:$I$25,MATCH($D133,Listas!$H$5:$H$25,0))),"⚠ revisar la unidad"))</f>
        <v/>
      </c>
      <c r="I133" s="15" t="str">
        <f aca="false">IF(OR($F133="",$G133="",$F133=0),"",$G133/$F133)</f>
        <v/>
      </c>
      <c r="J133" s="22"/>
      <c r="K133" s="22"/>
      <c r="L133" s="22"/>
      <c r="M133" s="22"/>
      <c r="N133" s="22"/>
      <c r="O133" s="22"/>
      <c r="P133" s="23"/>
    </row>
    <row r="134" customFormat="false" ht="15" hidden="false" customHeight="false" outlineLevel="0" collapsed="false">
      <c r="A134" s="18"/>
      <c r="B134" s="19"/>
      <c r="C134" s="19"/>
      <c r="D134" s="19"/>
      <c r="E134" s="19"/>
      <c r="F134" s="20"/>
      <c r="G134" s="21"/>
      <c r="H134" s="14" t="str">
        <f aca="false">IF(OR($A134="",$D134="",$E134="",$F134=""),"",IFERROR($A134&amp;" / "&amp;IF(AND($F134=1,$D134=$E134),INDEX(Listas!$I$5:$I$25,MATCH($E134,Listas!$H$5:$H$25,0)),INDEX(Listas!$I$5:$I$25,MATCH($E134,Listas!$H$5:$H$25,0))&amp;" X "&amp;TEXT($F134,"0.####")&amp;" "&amp;INDEX(Listas!$I$5:$I$25,MATCH($D134,Listas!$H$5:$H$25,0))),"⚠ revisar la unidad"))</f>
        <v/>
      </c>
      <c r="I134" s="15" t="str">
        <f aca="false">IF(OR($F134="",$G134="",$F134=0),"",$G134/$F134)</f>
        <v/>
      </c>
      <c r="J134" s="22"/>
      <c r="K134" s="22"/>
      <c r="L134" s="22"/>
      <c r="M134" s="22"/>
      <c r="N134" s="22"/>
      <c r="O134" s="22"/>
      <c r="P134" s="23"/>
    </row>
    <row r="135" customFormat="false" ht="15" hidden="false" customHeight="false" outlineLevel="0" collapsed="false">
      <c r="A135" s="18"/>
      <c r="B135" s="19"/>
      <c r="C135" s="19"/>
      <c r="D135" s="19"/>
      <c r="E135" s="19"/>
      <c r="F135" s="20"/>
      <c r="G135" s="21"/>
      <c r="H135" s="14" t="str">
        <f aca="false">IF(OR($A135="",$D135="",$E135="",$F135=""),"",IFERROR($A135&amp;" / "&amp;IF(AND($F135=1,$D135=$E135),INDEX(Listas!$I$5:$I$25,MATCH($E135,Listas!$H$5:$H$25,0)),INDEX(Listas!$I$5:$I$25,MATCH($E135,Listas!$H$5:$H$25,0))&amp;" X "&amp;TEXT($F135,"0.####")&amp;" "&amp;INDEX(Listas!$I$5:$I$25,MATCH($D135,Listas!$H$5:$H$25,0))),"⚠ revisar la unidad"))</f>
        <v/>
      </c>
      <c r="I135" s="15" t="str">
        <f aca="false">IF(OR($F135="",$G135="",$F135=0),"",$G135/$F135)</f>
        <v/>
      </c>
      <c r="J135" s="22"/>
      <c r="K135" s="22"/>
      <c r="L135" s="22"/>
      <c r="M135" s="22"/>
      <c r="N135" s="22"/>
      <c r="O135" s="22"/>
      <c r="P135" s="23"/>
    </row>
    <row r="136" customFormat="false" ht="15" hidden="false" customHeight="false" outlineLevel="0" collapsed="false">
      <c r="A136" s="18"/>
      <c r="B136" s="19"/>
      <c r="C136" s="19"/>
      <c r="D136" s="19"/>
      <c r="E136" s="19"/>
      <c r="F136" s="20"/>
      <c r="G136" s="21"/>
      <c r="H136" s="14" t="str">
        <f aca="false">IF(OR($A136="",$D136="",$E136="",$F136=""),"",IFERROR($A136&amp;" / "&amp;IF(AND($F136=1,$D136=$E136),INDEX(Listas!$I$5:$I$25,MATCH($E136,Listas!$H$5:$H$25,0)),INDEX(Listas!$I$5:$I$25,MATCH($E136,Listas!$H$5:$H$25,0))&amp;" X "&amp;TEXT($F136,"0.####")&amp;" "&amp;INDEX(Listas!$I$5:$I$25,MATCH($D136,Listas!$H$5:$H$25,0))),"⚠ revisar la unidad"))</f>
        <v/>
      </c>
      <c r="I136" s="15" t="str">
        <f aca="false">IF(OR($F136="",$G136="",$F136=0),"",$G136/$F136)</f>
        <v/>
      </c>
      <c r="J136" s="22"/>
      <c r="K136" s="22"/>
      <c r="L136" s="22"/>
      <c r="M136" s="22"/>
      <c r="N136" s="22"/>
      <c r="O136" s="22"/>
      <c r="P136" s="23"/>
    </row>
    <row r="137" customFormat="false" ht="15" hidden="false" customHeight="false" outlineLevel="0" collapsed="false">
      <c r="A137" s="18"/>
      <c r="B137" s="19"/>
      <c r="C137" s="19"/>
      <c r="D137" s="19"/>
      <c r="E137" s="19"/>
      <c r="F137" s="20"/>
      <c r="G137" s="21"/>
      <c r="H137" s="14" t="str">
        <f aca="false">IF(OR($A137="",$D137="",$E137="",$F137=""),"",IFERROR($A137&amp;" / "&amp;IF(AND($F137=1,$D137=$E137),INDEX(Listas!$I$5:$I$25,MATCH($E137,Listas!$H$5:$H$25,0)),INDEX(Listas!$I$5:$I$25,MATCH($E137,Listas!$H$5:$H$25,0))&amp;" X "&amp;TEXT($F137,"0.####")&amp;" "&amp;INDEX(Listas!$I$5:$I$25,MATCH($D137,Listas!$H$5:$H$25,0))),"⚠ revisar la unidad"))</f>
        <v/>
      </c>
      <c r="I137" s="15" t="str">
        <f aca="false">IF(OR($F137="",$G137="",$F137=0),"",$G137/$F137)</f>
        <v/>
      </c>
      <c r="J137" s="22"/>
      <c r="K137" s="22"/>
      <c r="L137" s="22"/>
      <c r="M137" s="22"/>
      <c r="N137" s="22"/>
      <c r="O137" s="22"/>
      <c r="P137" s="23"/>
    </row>
    <row r="138" customFormat="false" ht="15" hidden="false" customHeight="false" outlineLevel="0" collapsed="false">
      <c r="A138" s="18"/>
      <c r="B138" s="19"/>
      <c r="C138" s="19"/>
      <c r="D138" s="19"/>
      <c r="E138" s="19"/>
      <c r="F138" s="20"/>
      <c r="G138" s="21"/>
      <c r="H138" s="14" t="str">
        <f aca="false">IF(OR($A138="",$D138="",$E138="",$F138=""),"",IFERROR($A138&amp;" / "&amp;IF(AND($F138=1,$D138=$E138),INDEX(Listas!$I$5:$I$25,MATCH($E138,Listas!$H$5:$H$25,0)),INDEX(Listas!$I$5:$I$25,MATCH($E138,Listas!$H$5:$H$25,0))&amp;" X "&amp;TEXT($F138,"0.####")&amp;" "&amp;INDEX(Listas!$I$5:$I$25,MATCH($D138,Listas!$H$5:$H$25,0))),"⚠ revisar la unidad"))</f>
        <v/>
      </c>
      <c r="I138" s="15" t="str">
        <f aca="false">IF(OR($F138="",$G138="",$F138=0),"",$G138/$F138)</f>
        <v/>
      </c>
      <c r="J138" s="22"/>
      <c r="K138" s="22"/>
      <c r="L138" s="22"/>
      <c r="M138" s="22"/>
      <c r="N138" s="22"/>
      <c r="O138" s="22"/>
      <c r="P138" s="23"/>
    </row>
    <row r="139" customFormat="false" ht="15" hidden="false" customHeight="false" outlineLevel="0" collapsed="false">
      <c r="A139" s="18"/>
      <c r="B139" s="19"/>
      <c r="C139" s="19"/>
      <c r="D139" s="19"/>
      <c r="E139" s="19"/>
      <c r="F139" s="20"/>
      <c r="G139" s="21"/>
      <c r="H139" s="14" t="str">
        <f aca="false">IF(OR($A139="",$D139="",$E139="",$F139=""),"",IFERROR($A139&amp;" / "&amp;IF(AND($F139=1,$D139=$E139),INDEX(Listas!$I$5:$I$25,MATCH($E139,Listas!$H$5:$H$25,0)),INDEX(Listas!$I$5:$I$25,MATCH($E139,Listas!$H$5:$H$25,0))&amp;" X "&amp;TEXT($F139,"0.####")&amp;" "&amp;INDEX(Listas!$I$5:$I$25,MATCH($D139,Listas!$H$5:$H$25,0))),"⚠ revisar la unidad"))</f>
        <v/>
      </c>
      <c r="I139" s="15" t="str">
        <f aca="false">IF(OR($F139="",$G139="",$F139=0),"",$G139/$F139)</f>
        <v/>
      </c>
      <c r="J139" s="22"/>
      <c r="K139" s="22"/>
      <c r="L139" s="22"/>
      <c r="M139" s="22"/>
      <c r="N139" s="22"/>
      <c r="O139" s="22"/>
      <c r="P139" s="23"/>
    </row>
    <row r="140" customFormat="false" ht="15" hidden="false" customHeight="false" outlineLevel="0" collapsed="false">
      <c r="A140" s="18"/>
      <c r="B140" s="19"/>
      <c r="C140" s="19"/>
      <c r="D140" s="19"/>
      <c r="E140" s="19"/>
      <c r="F140" s="20"/>
      <c r="G140" s="21"/>
      <c r="H140" s="14" t="str">
        <f aca="false">IF(OR($A140="",$D140="",$E140="",$F140=""),"",IFERROR($A140&amp;" / "&amp;IF(AND($F140=1,$D140=$E140),INDEX(Listas!$I$5:$I$25,MATCH($E140,Listas!$H$5:$H$25,0)),INDEX(Listas!$I$5:$I$25,MATCH($E140,Listas!$H$5:$H$25,0))&amp;" X "&amp;TEXT($F140,"0.####")&amp;" "&amp;INDEX(Listas!$I$5:$I$25,MATCH($D140,Listas!$H$5:$H$25,0))),"⚠ revisar la unidad"))</f>
        <v/>
      </c>
      <c r="I140" s="15" t="str">
        <f aca="false">IF(OR($F140="",$G140="",$F140=0),"",$G140/$F140)</f>
        <v/>
      </c>
      <c r="J140" s="22"/>
      <c r="K140" s="22"/>
      <c r="L140" s="22"/>
      <c r="M140" s="22"/>
      <c r="N140" s="22"/>
      <c r="O140" s="22"/>
      <c r="P140" s="23"/>
    </row>
    <row r="141" customFormat="false" ht="15" hidden="false" customHeight="false" outlineLevel="0" collapsed="false">
      <c r="A141" s="18"/>
      <c r="B141" s="19"/>
      <c r="C141" s="19"/>
      <c r="D141" s="19"/>
      <c r="E141" s="19"/>
      <c r="F141" s="20"/>
      <c r="G141" s="21"/>
      <c r="H141" s="14" t="str">
        <f aca="false">IF(OR($A141="",$D141="",$E141="",$F141=""),"",IFERROR($A141&amp;" / "&amp;IF(AND($F141=1,$D141=$E141),INDEX(Listas!$I$5:$I$25,MATCH($E141,Listas!$H$5:$H$25,0)),INDEX(Listas!$I$5:$I$25,MATCH($E141,Listas!$H$5:$H$25,0))&amp;" X "&amp;TEXT($F141,"0.####")&amp;" "&amp;INDEX(Listas!$I$5:$I$25,MATCH($D141,Listas!$H$5:$H$25,0))),"⚠ revisar la unidad"))</f>
        <v/>
      </c>
      <c r="I141" s="15" t="str">
        <f aca="false">IF(OR($F141="",$G141="",$F141=0),"",$G141/$F141)</f>
        <v/>
      </c>
      <c r="J141" s="22"/>
      <c r="K141" s="22"/>
      <c r="L141" s="22"/>
      <c r="M141" s="22"/>
      <c r="N141" s="22"/>
      <c r="O141" s="22"/>
      <c r="P141" s="23"/>
    </row>
    <row r="142" customFormat="false" ht="15" hidden="false" customHeight="false" outlineLevel="0" collapsed="false">
      <c r="A142" s="18"/>
      <c r="B142" s="19"/>
      <c r="C142" s="19"/>
      <c r="D142" s="19"/>
      <c r="E142" s="19"/>
      <c r="F142" s="20"/>
      <c r="G142" s="21"/>
      <c r="H142" s="14" t="str">
        <f aca="false">IF(OR($A142="",$D142="",$E142="",$F142=""),"",IFERROR($A142&amp;" / "&amp;IF(AND($F142=1,$D142=$E142),INDEX(Listas!$I$5:$I$25,MATCH($E142,Listas!$H$5:$H$25,0)),INDEX(Listas!$I$5:$I$25,MATCH($E142,Listas!$H$5:$H$25,0))&amp;" X "&amp;TEXT($F142,"0.####")&amp;" "&amp;INDEX(Listas!$I$5:$I$25,MATCH($D142,Listas!$H$5:$H$25,0))),"⚠ revisar la unidad"))</f>
        <v/>
      </c>
      <c r="I142" s="15" t="str">
        <f aca="false">IF(OR($F142="",$G142="",$F142=0),"",$G142/$F142)</f>
        <v/>
      </c>
      <c r="J142" s="22"/>
      <c r="K142" s="22"/>
      <c r="L142" s="22"/>
      <c r="M142" s="22"/>
      <c r="N142" s="22"/>
      <c r="O142" s="22"/>
      <c r="P142" s="23"/>
    </row>
    <row r="143" customFormat="false" ht="15" hidden="false" customHeight="false" outlineLevel="0" collapsed="false">
      <c r="A143" s="18"/>
      <c r="B143" s="19"/>
      <c r="C143" s="19"/>
      <c r="D143" s="19"/>
      <c r="E143" s="19"/>
      <c r="F143" s="20"/>
      <c r="G143" s="21"/>
      <c r="H143" s="14" t="str">
        <f aca="false">IF(OR($A143="",$D143="",$E143="",$F143=""),"",IFERROR($A143&amp;" / "&amp;IF(AND($F143=1,$D143=$E143),INDEX(Listas!$I$5:$I$25,MATCH($E143,Listas!$H$5:$H$25,0)),INDEX(Listas!$I$5:$I$25,MATCH($E143,Listas!$H$5:$H$25,0))&amp;" X "&amp;TEXT($F143,"0.####")&amp;" "&amp;INDEX(Listas!$I$5:$I$25,MATCH($D143,Listas!$H$5:$H$25,0))),"⚠ revisar la unidad"))</f>
        <v/>
      </c>
      <c r="I143" s="15" t="str">
        <f aca="false">IF(OR($F143="",$G143="",$F143=0),"",$G143/$F143)</f>
        <v/>
      </c>
      <c r="J143" s="22"/>
      <c r="K143" s="22"/>
      <c r="L143" s="22"/>
      <c r="M143" s="22"/>
      <c r="N143" s="22"/>
      <c r="O143" s="22"/>
      <c r="P143" s="23"/>
    </row>
    <row r="144" customFormat="false" ht="15" hidden="false" customHeight="false" outlineLevel="0" collapsed="false">
      <c r="A144" s="18"/>
      <c r="B144" s="19"/>
      <c r="C144" s="19"/>
      <c r="D144" s="19"/>
      <c r="E144" s="19"/>
      <c r="F144" s="20"/>
      <c r="G144" s="21"/>
      <c r="H144" s="14" t="str">
        <f aca="false">IF(OR($A144="",$D144="",$E144="",$F144=""),"",IFERROR($A144&amp;" / "&amp;IF(AND($F144=1,$D144=$E144),INDEX(Listas!$I$5:$I$25,MATCH($E144,Listas!$H$5:$H$25,0)),INDEX(Listas!$I$5:$I$25,MATCH($E144,Listas!$H$5:$H$25,0))&amp;" X "&amp;TEXT($F144,"0.####")&amp;" "&amp;INDEX(Listas!$I$5:$I$25,MATCH($D144,Listas!$H$5:$H$25,0))),"⚠ revisar la unidad"))</f>
        <v/>
      </c>
      <c r="I144" s="15" t="str">
        <f aca="false">IF(OR($F144="",$G144="",$F144=0),"",$G144/$F144)</f>
        <v/>
      </c>
      <c r="J144" s="22"/>
      <c r="K144" s="22"/>
      <c r="L144" s="22"/>
      <c r="M144" s="22"/>
      <c r="N144" s="22"/>
      <c r="O144" s="22"/>
      <c r="P144" s="23"/>
    </row>
    <row r="145" customFormat="false" ht="15" hidden="false" customHeight="false" outlineLevel="0" collapsed="false">
      <c r="A145" s="18"/>
      <c r="B145" s="19"/>
      <c r="C145" s="19"/>
      <c r="D145" s="19"/>
      <c r="E145" s="19"/>
      <c r="F145" s="20"/>
      <c r="G145" s="21"/>
      <c r="H145" s="14" t="str">
        <f aca="false">IF(OR($A145="",$D145="",$E145="",$F145=""),"",IFERROR($A145&amp;" / "&amp;IF(AND($F145=1,$D145=$E145),INDEX(Listas!$I$5:$I$25,MATCH($E145,Listas!$H$5:$H$25,0)),INDEX(Listas!$I$5:$I$25,MATCH($E145,Listas!$H$5:$H$25,0))&amp;" X "&amp;TEXT($F145,"0.####")&amp;" "&amp;INDEX(Listas!$I$5:$I$25,MATCH($D145,Listas!$H$5:$H$25,0))),"⚠ revisar la unidad"))</f>
        <v/>
      </c>
      <c r="I145" s="15" t="str">
        <f aca="false">IF(OR($F145="",$G145="",$F145=0),"",$G145/$F145)</f>
        <v/>
      </c>
      <c r="J145" s="22"/>
      <c r="K145" s="22"/>
      <c r="L145" s="22"/>
      <c r="M145" s="22"/>
      <c r="N145" s="22"/>
      <c r="O145" s="22"/>
      <c r="P145" s="23"/>
    </row>
    <row r="146" customFormat="false" ht="15" hidden="false" customHeight="false" outlineLevel="0" collapsed="false">
      <c r="A146" s="18"/>
      <c r="B146" s="19"/>
      <c r="C146" s="19"/>
      <c r="D146" s="19"/>
      <c r="E146" s="19"/>
      <c r="F146" s="20"/>
      <c r="G146" s="21"/>
      <c r="H146" s="14" t="str">
        <f aca="false">IF(OR($A146="",$D146="",$E146="",$F146=""),"",IFERROR($A146&amp;" / "&amp;IF(AND($F146=1,$D146=$E146),INDEX(Listas!$I$5:$I$25,MATCH($E146,Listas!$H$5:$H$25,0)),INDEX(Listas!$I$5:$I$25,MATCH($E146,Listas!$H$5:$H$25,0))&amp;" X "&amp;TEXT($F146,"0.####")&amp;" "&amp;INDEX(Listas!$I$5:$I$25,MATCH($D146,Listas!$H$5:$H$25,0))),"⚠ revisar la unidad"))</f>
        <v/>
      </c>
      <c r="I146" s="15" t="str">
        <f aca="false">IF(OR($F146="",$G146="",$F146=0),"",$G146/$F146)</f>
        <v/>
      </c>
      <c r="J146" s="22"/>
      <c r="K146" s="22"/>
      <c r="L146" s="22"/>
      <c r="M146" s="22"/>
      <c r="N146" s="22"/>
      <c r="O146" s="22"/>
      <c r="P146" s="23"/>
    </row>
    <row r="147" customFormat="false" ht="15" hidden="false" customHeight="false" outlineLevel="0" collapsed="false">
      <c r="A147" s="18"/>
      <c r="B147" s="19"/>
      <c r="C147" s="19"/>
      <c r="D147" s="19"/>
      <c r="E147" s="19"/>
      <c r="F147" s="20"/>
      <c r="G147" s="21"/>
      <c r="H147" s="14" t="str">
        <f aca="false">IF(OR($A147="",$D147="",$E147="",$F147=""),"",IFERROR($A147&amp;" / "&amp;IF(AND($F147=1,$D147=$E147),INDEX(Listas!$I$5:$I$25,MATCH($E147,Listas!$H$5:$H$25,0)),INDEX(Listas!$I$5:$I$25,MATCH($E147,Listas!$H$5:$H$25,0))&amp;" X "&amp;TEXT($F147,"0.####")&amp;" "&amp;INDEX(Listas!$I$5:$I$25,MATCH($D147,Listas!$H$5:$H$25,0))),"⚠ revisar la unidad"))</f>
        <v/>
      </c>
      <c r="I147" s="15" t="str">
        <f aca="false">IF(OR($F147="",$G147="",$F147=0),"",$G147/$F147)</f>
        <v/>
      </c>
      <c r="J147" s="22"/>
      <c r="K147" s="22"/>
      <c r="L147" s="22"/>
      <c r="M147" s="22"/>
      <c r="N147" s="22"/>
      <c r="O147" s="22"/>
      <c r="P147" s="23"/>
    </row>
    <row r="148" customFormat="false" ht="15" hidden="false" customHeight="false" outlineLevel="0" collapsed="false">
      <c r="A148" s="18"/>
      <c r="B148" s="19"/>
      <c r="C148" s="19"/>
      <c r="D148" s="19"/>
      <c r="E148" s="19"/>
      <c r="F148" s="20"/>
      <c r="G148" s="21"/>
      <c r="H148" s="14" t="str">
        <f aca="false">IF(OR($A148="",$D148="",$E148="",$F148=""),"",IFERROR($A148&amp;" / "&amp;IF(AND($F148=1,$D148=$E148),INDEX(Listas!$I$5:$I$25,MATCH($E148,Listas!$H$5:$H$25,0)),INDEX(Listas!$I$5:$I$25,MATCH($E148,Listas!$H$5:$H$25,0))&amp;" X "&amp;TEXT($F148,"0.####")&amp;" "&amp;INDEX(Listas!$I$5:$I$25,MATCH($D148,Listas!$H$5:$H$25,0))),"⚠ revisar la unidad"))</f>
        <v/>
      </c>
      <c r="I148" s="15" t="str">
        <f aca="false">IF(OR($F148="",$G148="",$F148=0),"",$G148/$F148)</f>
        <v/>
      </c>
      <c r="J148" s="22"/>
      <c r="K148" s="22"/>
      <c r="L148" s="22"/>
      <c r="M148" s="22"/>
      <c r="N148" s="22"/>
      <c r="O148" s="22"/>
      <c r="P148" s="23"/>
    </row>
    <row r="149" customFormat="false" ht="15" hidden="false" customHeight="false" outlineLevel="0" collapsed="false">
      <c r="A149" s="18"/>
      <c r="B149" s="19"/>
      <c r="C149" s="19"/>
      <c r="D149" s="19"/>
      <c r="E149" s="19"/>
      <c r="F149" s="20"/>
      <c r="G149" s="21"/>
      <c r="H149" s="14" t="str">
        <f aca="false">IF(OR($A149="",$D149="",$E149="",$F149=""),"",IFERROR($A149&amp;" / "&amp;IF(AND($F149=1,$D149=$E149),INDEX(Listas!$I$5:$I$25,MATCH($E149,Listas!$H$5:$H$25,0)),INDEX(Listas!$I$5:$I$25,MATCH($E149,Listas!$H$5:$H$25,0))&amp;" X "&amp;TEXT($F149,"0.####")&amp;" "&amp;INDEX(Listas!$I$5:$I$25,MATCH($D149,Listas!$H$5:$H$25,0))),"⚠ revisar la unidad"))</f>
        <v/>
      </c>
      <c r="I149" s="15" t="str">
        <f aca="false">IF(OR($F149="",$G149="",$F149=0),"",$G149/$F149)</f>
        <v/>
      </c>
      <c r="J149" s="22"/>
      <c r="K149" s="22"/>
      <c r="L149" s="22"/>
      <c r="M149" s="22"/>
      <c r="N149" s="22"/>
      <c r="O149" s="22"/>
      <c r="P149" s="23"/>
    </row>
    <row r="150" customFormat="false" ht="15" hidden="false" customHeight="false" outlineLevel="0" collapsed="false">
      <c r="A150" s="18"/>
      <c r="B150" s="19"/>
      <c r="C150" s="19"/>
      <c r="D150" s="19"/>
      <c r="E150" s="19"/>
      <c r="F150" s="20"/>
      <c r="G150" s="21"/>
      <c r="H150" s="14" t="str">
        <f aca="false">IF(OR($A150="",$D150="",$E150="",$F150=""),"",IFERROR($A150&amp;" / "&amp;IF(AND($F150=1,$D150=$E150),INDEX(Listas!$I$5:$I$25,MATCH($E150,Listas!$H$5:$H$25,0)),INDEX(Listas!$I$5:$I$25,MATCH($E150,Listas!$H$5:$H$25,0))&amp;" X "&amp;TEXT($F150,"0.####")&amp;" "&amp;INDEX(Listas!$I$5:$I$25,MATCH($D150,Listas!$H$5:$H$25,0))),"⚠ revisar la unidad"))</f>
        <v/>
      </c>
      <c r="I150" s="15" t="str">
        <f aca="false">IF(OR($F150="",$G150="",$F150=0),"",$G150/$F150)</f>
        <v/>
      </c>
      <c r="J150" s="22"/>
      <c r="K150" s="22"/>
      <c r="L150" s="22"/>
      <c r="M150" s="22"/>
      <c r="N150" s="22"/>
      <c r="O150" s="22"/>
      <c r="P150" s="23"/>
    </row>
    <row r="151" customFormat="false" ht="15" hidden="false" customHeight="false" outlineLevel="0" collapsed="false">
      <c r="A151" s="18"/>
      <c r="B151" s="19"/>
      <c r="C151" s="19"/>
      <c r="D151" s="19"/>
      <c r="E151" s="19"/>
      <c r="F151" s="20"/>
      <c r="G151" s="21"/>
      <c r="H151" s="14" t="str">
        <f aca="false">IF(OR($A151="",$D151="",$E151="",$F151=""),"",IFERROR($A151&amp;" / "&amp;IF(AND($F151=1,$D151=$E151),INDEX(Listas!$I$5:$I$25,MATCH($E151,Listas!$H$5:$H$25,0)),INDEX(Listas!$I$5:$I$25,MATCH($E151,Listas!$H$5:$H$25,0))&amp;" X "&amp;TEXT($F151,"0.####")&amp;" "&amp;INDEX(Listas!$I$5:$I$25,MATCH($D151,Listas!$H$5:$H$25,0))),"⚠ revisar la unidad"))</f>
        <v/>
      </c>
      <c r="I151" s="15" t="str">
        <f aca="false">IF(OR($F151="",$G151="",$F151=0),"",$G151/$F151)</f>
        <v/>
      </c>
      <c r="J151" s="22"/>
      <c r="K151" s="22"/>
      <c r="L151" s="22"/>
      <c r="M151" s="22"/>
      <c r="N151" s="22"/>
      <c r="O151" s="22"/>
      <c r="P151" s="23"/>
    </row>
    <row r="152" customFormat="false" ht="15" hidden="false" customHeight="false" outlineLevel="0" collapsed="false">
      <c r="A152" s="18"/>
      <c r="B152" s="19"/>
      <c r="C152" s="19"/>
      <c r="D152" s="19"/>
      <c r="E152" s="19"/>
      <c r="F152" s="20"/>
      <c r="G152" s="21"/>
      <c r="H152" s="14" t="str">
        <f aca="false">IF(OR($A152="",$D152="",$E152="",$F152=""),"",IFERROR($A152&amp;" / "&amp;IF(AND($F152=1,$D152=$E152),INDEX(Listas!$I$5:$I$25,MATCH($E152,Listas!$H$5:$H$25,0)),INDEX(Listas!$I$5:$I$25,MATCH($E152,Listas!$H$5:$H$25,0))&amp;" X "&amp;TEXT($F152,"0.####")&amp;" "&amp;INDEX(Listas!$I$5:$I$25,MATCH($D152,Listas!$H$5:$H$25,0))),"⚠ revisar la unidad"))</f>
        <v/>
      </c>
      <c r="I152" s="15" t="str">
        <f aca="false">IF(OR($F152="",$G152="",$F152=0),"",$G152/$F152)</f>
        <v/>
      </c>
      <c r="J152" s="22"/>
      <c r="K152" s="22"/>
      <c r="L152" s="22"/>
      <c r="M152" s="22"/>
      <c r="N152" s="22"/>
      <c r="O152" s="22"/>
      <c r="P152" s="23"/>
    </row>
    <row r="153" customFormat="false" ht="15" hidden="false" customHeight="false" outlineLevel="0" collapsed="false">
      <c r="A153" s="18"/>
      <c r="B153" s="19"/>
      <c r="C153" s="19"/>
      <c r="D153" s="19"/>
      <c r="E153" s="19"/>
      <c r="F153" s="20"/>
      <c r="G153" s="21"/>
      <c r="H153" s="14" t="str">
        <f aca="false">IF(OR($A153="",$D153="",$E153="",$F153=""),"",IFERROR($A153&amp;" / "&amp;IF(AND($F153=1,$D153=$E153),INDEX(Listas!$I$5:$I$25,MATCH($E153,Listas!$H$5:$H$25,0)),INDEX(Listas!$I$5:$I$25,MATCH($E153,Listas!$H$5:$H$25,0))&amp;" X "&amp;TEXT($F153,"0.####")&amp;" "&amp;INDEX(Listas!$I$5:$I$25,MATCH($D153,Listas!$H$5:$H$25,0))),"⚠ revisar la unidad"))</f>
        <v/>
      </c>
      <c r="I153" s="15" t="str">
        <f aca="false">IF(OR($F153="",$G153="",$F153=0),"",$G153/$F153)</f>
        <v/>
      </c>
      <c r="J153" s="22"/>
      <c r="K153" s="22"/>
      <c r="L153" s="22"/>
      <c r="M153" s="22"/>
      <c r="N153" s="22"/>
      <c r="O153" s="22"/>
      <c r="P153" s="23"/>
    </row>
    <row r="154" customFormat="false" ht="15" hidden="false" customHeight="false" outlineLevel="0" collapsed="false">
      <c r="A154" s="18"/>
      <c r="B154" s="19"/>
      <c r="C154" s="19"/>
      <c r="D154" s="19"/>
      <c r="E154" s="19"/>
      <c r="F154" s="20"/>
      <c r="G154" s="21"/>
      <c r="H154" s="14" t="str">
        <f aca="false">IF(OR($A154="",$D154="",$E154="",$F154=""),"",IFERROR($A154&amp;" / "&amp;IF(AND($F154=1,$D154=$E154),INDEX(Listas!$I$5:$I$25,MATCH($E154,Listas!$H$5:$H$25,0)),INDEX(Listas!$I$5:$I$25,MATCH($E154,Listas!$H$5:$H$25,0))&amp;" X "&amp;TEXT($F154,"0.####")&amp;" "&amp;INDEX(Listas!$I$5:$I$25,MATCH($D154,Listas!$H$5:$H$25,0))),"⚠ revisar la unidad"))</f>
        <v/>
      </c>
      <c r="I154" s="15" t="str">
        <f aca="false">IF(OR($F154="",$G154="",$F154=0),"",$G154/$F154)</f>
        <v/>
      </c>
      <c r="J154" s="22"/>
      <c r="K154" s="22"/>
      <c r="L154" s="22"/>
      <c r="M154" s="22"/>
      <c r="N154" s="22"/>
      <c r="O154" s="22"/>
      <c r="P154" s="23"/>
    </row>
    <row r="155" customFormat="false" ht="15" hidden="false" customHeight="false" outlineLevel="0" collapsed="false">
      <c r="A155" s="18"/>
      <c r="B155" s="19"/>
      <c r="C155" s="19"/>
      <c r="D155" s="19"/>
      <c r="E155" s="19"/>
      <c r="F155" s="20"/>
      <c r="G155" s="21"/>
      <c r="H155" s="14" t="str">
        <f aca="false">IF(OR($A155="",$D155="",$E155="",$F155=""),"",IFERROR($A155&amp;" / "&amp;IF(AND($F155=1,$D155=$E155),INDEX(Listas!$I$5:$I$25,MATCH($E155,Listas!$H$5:$H$25,0)),INDEX(Listas!$I$5:$I$25,MATCH($E155,Listas!$H$5:$H$25,0))&amp;" X "&amp;TEXT($F155,"0.####")&amp;" "&amp;INDEX(Listas!$I$5:$I$25,MATCH($D155,Listas!$H$5:$H$25,0))),"⚠ revisar la unidad"))</f>
        <v/>
      </c>
      <c r="I155" s="15" t="str">
        <f aca="false">IF(OR($F155="",$G155="",$F155=0),"",$G155/$F155)</f>
        <v/>
      </c>
      <c r="J155" s="22"/>
      <c r="K155" s="22"/>
      <c r="L155" s="22"/>
      <c r="M155" s="22"/>
      <c r="N155" s="22"/>
      <c r="O155" s="22"/>
      <c r="P155" s="23"/>
    </row>
    <row r="156" customFormat="false" ht="15" hidden="false" customHeight="false" outlineLevel="0" collapsed="false">
      <c r="A156" s="18"/>
      <c r="B156" s="19"/>
      <c r="C156" s="19"/>
      <c r="D156" s="19"/>
      <c r="E156" s="19"/>
      <c r="F156" s="20"/>
      <c r="G156" s="21"/>
      <c r="H156" s="14" t="str">
        <f aca="false">IF(OR($A156="",$D156="",$E156="",$F156=""),"",IFERROR($A156&amp;" / "&amp;IF(AND($F156=1,$D156=$E156),INDEX(Listas!$I$5:$I$25,MATCH($E156,Listas!$H$5:$H$25,0)),INDEX(Listas!$I$5:$I$25,MATCH($E156,Listas!$H$5:$H$25,0))&amp;" X "&amp;TEXT($F156,"0.####")&amp;" "&amp;INDEX(Listas!$I$5:$I$25,MATCH($D156,Listas!$H$5:$H$25,0))),"⚠ revisar la unidad"))</f>
        <v/>
      </c>
      <c r="I156" s="15" t="str">
        <f aca="false">IF(OR($F156="",$G156="",$F156=0),"",$G156/$F156)</f>
        <v/>
      </c>
      <c r="J156" s="22"/>
      <c r="K156" s="22"/>
      <c r="L156" s="22"/>
      <c r="M156" s="22"/>
      <c r="N156" s="22"/>
      <c r="O156" s="22"/>
      <c r="P156" s="23"/>
    </row>
    <row r="157" customFormat="false" ht="15" hidden="false" customHeight="false" outlineLevel="0" collapsed="false">
      <c r="A157" s="18"/>
      <c r="B157" s="19"/>
      <c r="C157" s="19"/>
      <c r="D157" s="19"/>
      <c r="E157" s="19"/>
      <c r="F157" s="20"/>
      <c r="G157" s="21"/>
      <c r="H157" s="14" t="str">
        <f aca="false">IF(OR($A157="",$D157="",$E157="",$F157=""),"",IFERROR($A157&amp;" / "&amp;IF(AND($F157=1,$D157=$E157),INDEX(Listas!$I$5:$I$25,MATCH($E157,Listas!$H$5:$H$25,0)),INDEX(Listas!$I$5:$I$25,MATCH($E157,Listas!$H$5:$H$25,0))&amp;" X "&amp;TEXT($F157,"0.####")&amp;" "&amp;INDEX(Listas!$I$5:$I$25,MATCH($D157,Listas!$H$5:$H$25,0))),"⚠ revisar la unidad"))</f>
        <v/>
      </c>
      <c r="I157" s="15" t="str">
        <f aca="false">IF(OR($F157="",$G157="",$F157=0),"",$G157/$F157)</f>
        <v/>
      </c>
      <c r="J157" s="22"/>
      <c r="K157" s="22"/>
      <c r="L157" s="22"/>
      <c r="M157" s="22"/>
      <c r="N157" s="22"/>
      <c r="O157" s="22"/>
      <c r="P157" s="23"/>
    </row>
    <row r="158" customFormat="false" ht="15" hidden="false" customHeight="false" outlineLevel="0" collapsed="false">
      <c r="A158" s="18"/>
      <c r="B158" s="19"/>
      <c r="C158" s="19"/>
      <c r="D158" s="19"/>
      <c r="E158" s="19"/>
      <c r="F158" s="20"/>
      <c r="G158" s="21"/>
      <c r="H158" s="14" t="str">
        <f aca="false">IF(OR($A158="",$D158="",$E158="",$F158=""),"",IFERROR($A158&amp;" / "&amp;IF(AND($F158=1,$D158=$E158),INDEX(Listas!$I$5:$I$25,MATCH($E158,Listas!$H$5:$H$25,0)),INDEX(Listas!$I$5:$I$25,MATCH($E158,Listas!$H$5:$H$25,0))&amp;" X "&amp;TEXT($F158,"0.####")&amp;" "&amp;INDEX(Listas!$I$5:$I$25,MATCH($D158,Listas!$H$5:$H$25,0))),"⚠ revisar la unidad"))</f>
        <v/>
      </c>
      <c r="I158" s="15" t="str">
        <f aca="false">IF(OR($F158="",$G158="",$F158=0),"",$G158/$F158)</f>
        <v/>
      </c>
      <c r="J158" s="22"/>
      <c r="K158" s="22"/>
      <c r="L158" s="22"/>
      <c r="M158" s="22"/>
      <c r="N158" s="22"/>
      <c r="O158" s="22"/>
      <c r="P158" s="23"/>
    </row>
    <row r="159" customFormat="false" ht="15" hidden="false" customHeight="false" outlineLevel="0" collapsed="false">
      <c r="A159" s="18"/>
      <c r="B159" s="19"/>
      <c r="C159" s="19"/>
      <c r="D159" s="19"/>
      <c r="E159" s="19"/>
      <c r="F159" s="20"/>
      <c r="G159" s="21"/>
      <c r="H159" s="14" t="str">
        <f aca="false">IF(OR($A159="",$D159="",$E159="",$F159=""),"",IFERROR($A159&amp;" / "&amp;IF(AND($F159=1,$D159=$E159),INDEX(Listas!$I$5:$I$25,MATCH($E159,Listas!$H$5:$H$25,0)),INDEX(Listas!$I$5:$I$25,MATCH($E159,Listas!$H$5:$H$25,0))&amp;" X "&amp;TEXT($F159,"0.####")&amp;" "&amp;INDEX(Listas!$I$5:$I$25,MATCH($D159,Listas!$H$5:$H$25,0))),"⚠ revisar la unidad"))</f>
        <v/>
      </c>
      <c r="I159" s="15" t="str">
        <f aca="false">IF(OR($F159="",$G159="",$F159=0),"",$G159/$F159)</f>
        <v/>
      </c>
      <c r="J159" s="22"/>
      <c r="K159" s="22"/>
      <c r="L159" s="22"/>
      <c r="M159" s="22"/>
      <c r="N159" s="22"/>
      <c r="O159" s="22"/>
      <c r="P159" s="23"/>
    </row>
    <row r="160" customFormat="false" ht="15" hidden="false" customHeight="false" outlineLevel="0" collapsed="false">
      <c r="A160" s="18"/>
      <c r="B160" s="19"/>
      <c r="C160" s="19"/>
      <c r="D160" s="19"/>
      <c r="E160" s="19"/>
      <c r="F160" s="20"/>
      <c r="G160" s="21"/>
      <c r="H160" s="14" t="str">
        <f aca="false">IF(OR($A160="",$D160="",$E160="",$F160=""),"",IFERROR($A160&amp;" / "&amp;IF(AND($F160=1,$D160=$E160),INDEX(Listas!$I$5:$I$25,MATCH($E160,Listas!$H$5:$H$25,0)),INDEX(Listas!$I$5:$I$25,MATCH($E160,Listas!$H$5:$H$25,0))&amp;" X "&amp;TEXT($F160,"0.####")&amp;" "&amp;INDEX(Listas!$I$5:$I$25,MATCH($D160,Listas!$H$5:$H$25,0))),"⚠ revisar la unidad"))</f>
        <v/>
      </c>
      <c r="I160" s="15" t="str">
        <f aca="false">IF(OR($F160="",$G160="",$F160=0),"",$G160/$F160)</f>
        <v/>
      </c>
      <c r="J160" s="22"/>
      <c r="K160" s="22"/>
      <c r="L160" s="22"/>
      <c r="M160" s="22"/>
      <c r="N160" s="22"/>
      <c r="O160" s="22"/>
      <c r="P160" s="23"/>
    </row>
    <row r="161" customFormat="false" ht="15" hidden="false" customHeight="false" outlineLevel="0" collapsed="false">
      <c r="A161" s="18"/>
      <c r="B161" s="19"/>
      <c r="C161" s="19"/>
      <c r="D161" s="19"/>
      <c r="E161" s="19"/>
      <c r="F161" s="20"/>
      <c r="G161" s="21"/>
      <c r="H161" s="14" t="str">
        <f aca="false">IF(OR($A161="",$D161="",$E161="",$F161=""),"",IFERROR($A161&amp;" / "&amp;IF(AND($F161=1,$D161=$E161),INDEX(Listas!$I$5:$I$25,MATCH($E161,Listas!$H$5:$H$25,0)),INDEX(Listas!$I$5:$I$25,MATCH($E161,Listas!$H$5:$H$25,0))&amp;" X "&amp;TEXT($F161,"0.####")&amp;" "&amp;INDEX(Listas!$I$5:$I$25,MATCH($D161,Listas!$H$5:$H$25,0))),"⚠ revisar la unidad"))</f>
        <v/>
      </c>
      <c r="I161" s="15" t="str">
        <f aca="false">IF(OR($F161="",$G161="",$F161=0),"",$G161/$F161)</f>
        <v/>
      </c>
      <c r="J161" s="22"/>
      <c r="K161" s="22"/>
      <c r="L161" s="22"/>
      <c r="M161" s="22"/>
      <c r="N161" s="22"/>
      <c r="O161" s="22"/>
      <c r="P161" s="23"/>
    </row>
    <row r="162" customFormat="false" ht="15" hidden="false" customHeight="false" outlineLevel="0" collapsed="false">
      <c r="A162" s="18"/>
      <c r="B162" s="19"/>
      <c r="C162" s="19"/>
      <c r="D162" s="19"/>
      <c r="E162" s="19"/>
      <c r="F162" s="20"/>
      <c r="G162" s="21"/>
      <c r="H162" s="14" t="str">
        <f aca="false">IF(OR($A162="",$D162="",$E162="",$F162=""),"",IFERROR($A162&amp;" / "&amp;IF(AND($F162=1,$D162=$E162),INDEX(Listas!$I$5:$I$25,MATCH($E162,Listas!$H$5:$H$25,0)),INDEX(Listas!$I$5:$I$25,MATCH($E162,Listas!$H$5:$H$25,0))&amp;" X "&amp;TEXT($F162,"0.####")&amp;" "&amp;INDEX(Listas!$I$5:$I$25,MATCH($D162,Listas!$H$5:$H$25,0))),"⚠ revisar la unidad"))</f>
        <v/>
      </c>
      <c r="I162" s="15" t="str">
        <f aca="false">IF(OR($F162="",$G162="",$F162=0),"",$G162/$F162)</f>
        <v/>
      </c>
      <c r="J162" s="22"/>
      <c r="K162" s="22"/>
      <c r="L162" s="22"/>
      <c r="M162" s="22"/>
      <c r="N162" s="22"/>
      <c r="O162" s="22"/>
      <c r="P162" s="23"/>
    </row>
    <row r="163" customFormat="false" ht="15" hidden="false" customHeight="false" outlineLevel="0" collapsed="false">
      <c r="A163" s="18"/>
      <c r="B163" s="19"/>
      <c r="C163" s="19"/>
      <c r="D163" s="19"/>
      <c r="E163" s="19"/>
      <c r="F163" s="20"/>
      <c r="G163" s="21"/>
      <c r="H163" s="14" t="str">
        <f aca="false">IF(OR($A163="",$D163="",$E163="",$F163=""),"",IFERROR($A163&amp;" / "&amp;IF(AND($F163=1,$D163=$E163),INDEX(Listas!$I$5:$I$25,MATCH($E163,Listas!$H$5:$H$25,0)),INDEX(Listas!$I$5:$I$25,MATCH($E163,Listas!$H$5:$H$25,0))&amp;" X "&amp;TEXT($F163,"0.####")&amp;" "&amp;INDEX(Listas!$I$5:$I$25,MATCH($D163,Listas!$H$5:$H$25,0))),"⚠ revisar la unidad"))</f>
        <v/>
      </c>
      <c r="I163" s="15" t="str">
        <f aca="false">IF(OR($F163="",$G163="",$F163=0),"",$G163/$F163)</f>
        <v/>
      </c>
      <c r="J163" s="22"/>
      <c r="K163" s="22"/>
      <c r="L163" s="22"/>
      <c r="M163" s="22"/>
      <c r="N163" s="22"/>
      <c r="O163" s="22"/>
      <c r="P163" s="23"/>
    </row>
    <row r="164" customFormat="false" ht="15" hidden="false" customHeight="false" outlineLevel="0" collapsed="false">
      <c r="A164" s="18"/>
      <c r="B164" s="19"/>
      <c r="C164" s="19"/>
      <c r="D164" s="19"/>
      <c r="E164" s="19"/>
      <c r="F164" s="20"/>
      <c r="G164" s="21"/>
      <c r="H164" s="14" t="str">
        <f aca="false">IF(OR($A164="",$D164="",$E164="",$F164=""),"",IFERROR($A164&amp;" / "&amp;IF(AND($F164=1,$D164=$E164),INDEX(Listas!$I$5:$I$25,MATCH($E164,Listas!$H$5:$H$25,0)),INDEX(Listas!$I$5:$I$25,MATCH($E164,Listas!$H$5:$H$25,0))&amp;" X "&amp;TEXT($F164,"0.####")&amp;" "&amp;INDEX(Listas!$I$5:$I$25,MATCH($D164,Listas!$H$5:$H$25,0))),"⚠ revisar la unidad"))</f>
        <v/>
      </c>
      <c r="I164" s="15" t="str">
        <f aca="false">IF(OR($F164="",$G164="",$F164=0),"",$G164/$F164)</f>
        <v/>
      </c>
      <c r="J164" s="22"/>
      <c r="K164" s="22"/>
      <c r="L164" s="22"/>
      <c r="M164" s="22"/>
      <c r="N164" s="22"/>
      <c r="O164" s="22"/>
      <c r="P164" s="23"/>
    </row>
    <row r="165" customFormat="false" ht="15" hidden="false" customHeight="false" outlineLevel="0" collapsed="false">
      <c r="A165" s="18"/>
      <c r="B165" s="19"/>
      <c r="C165" s="19"/>
      <c r="D165" s="19"/>
      <c r="E165" s="19"/>
      <c r="F165" s="20"/>
      <c r="G165" s="21"/>
      <c r="H165" s="14" t="str">
        <f aca="false">IF(OR($A165="",$D165="",$E165="",$F165=""),"",IFERROR($A165&amp;" / "&amp;IF(AND($F165=1,$D165=$E165),INDEX(Listas!$I$5:$I$25,MATCH($E165,Listas!$H$5:$H$25,0)),INDEX(Listas!$I$5:$I$25,MATCH($E165,Listas!$H$5:$H$25,0))&amp;" X "&amp;TEXT($F165,"0.####")&amp;" "&amp;INDEX(Listas!$I$5:$I$25,MATCH($D165,Listas!$H$5:$H$25,0))),"⚠ revisar la unidad"))</f>
        <v/>
      </c>
      <c r="I165" s="15" t="str">
        <f aca="false">IF(OR($F165="",$G165="",$F165=0),"",$G165/$F165)</f>
        <v/>
      </c>
      <c r="J165" s="22"/>
      <c r="K165" s="22"/>
      <c r="L165" s="22"/>
      <c r="M165" s="22"/>
      <c r="N165" s="22"/>
      <c r="O165" s="22"/>
      <c r="P165" s="23"/>
    </row>
    <row r="166" customFormat="false" ht="15" hidden="false" customHeight="false" outlineLevel="0" collapsed="false">
      <c r="A166" s="18"/>
      <c r="B166" s="19"/>
      <c r="C166" s="19"/>
      <c r="D166" s="19"/>
      <c r="E166" s="19"/>
      <c r="F166" s="20"/>
      <c r="G166" s="21"/>
      <c r="H166" s="14" t="str">
        <f aca="false">IF(OR($A166="",$D166="",$E166="",$F166=""),"",IFERROR($A166&amp;" / "&amp;IF(AND($F166=1,$D166=$E166),INDEX(Listas!$I$5:$I$25,MATCH($E166,Listas!$H$5:$H$25,0)),INDEX(Listas!$I$5:$I$25,MATCH($E166,Listas!$H$5:$H$25,0))&amp;" X "&amp;TEXT($F166,"0.####")&amp;" "&amp;INDEX(Listas!$I$5:$I$25,MATCH($D166,Listas!$H$5:$H$25,0))),"⚠ revisar la unidad"))</f>
        <v/>
      </c>
      <c r="I166" s="15" t="str">
        <f aca="false">IF(OR($F166="",$G166="",$F166=0),"",$G166/$F166)</f>
        <v/>
      </c>
      <c r="J166" s="22"/>
      <c r="K166" s="22"/>
      <c r="L166" s="22"/>
      <c r="M166" s="22"/>
      <c r="N166" s="22"/>
      <c r="O166" s="22"/>
      <c r="P166" s="23"/>
    </row>
    <row r="167" customFormat="false" ht="15" hidden="false" customHeight="false" outlineLevel="0" collapsed="false">
      <c r="A167" s="18"/>
      <c r="B167" s="19"/>
      <c r="C167" s="19"/>
      <c r="D167" s="19"/>
      <c r="E167" s="19"/>
      <c r="F167" s="20"/>
      <c r="G167" s="21"/>
      <c r="H167" s="14" t="str">
        <f aca="false">IF(OR($A167="",$D167="",$E167="",$F167=""),"",IFERROR($A167&amp;" / "&amp;IF(AND($F167=1,$D167=$E167),INDEX(Listas!$I$5:$I$25,MATCH($E167,Listas!$H$5:$H$25,0)),INDEX(Listas!$I$5:$I$25,MATCH($E167,Listas!$H$5:$H$25,0))&amp;" X "&amp;TEXT($F167,"0.####")&amp;" "&amp;INDEX(Listas!$I$5:$I$25,MATCH($D167,Listas!$H$5:$H$25,0))),"⚠ revisar la unidad"))</f>
        <v/>
      </c>
      <c r="I167" s="15" t="str">
        <f aca="false">IF(OR($F167="",$G167="",$F167=0),"",$G167/$F167)</f>
        <v/>
      </c>
      <c r="J167" s="22"/>
      <c r="K167" s="22"/>
      <c r="L167" s="22"/>
      <c r="M167" s="22"/>
      <c r="N167" s="22"/>
      <c r="O167" s="22"/>
      <c r="P167" s="23"/>
    </row>
    <row r="168" customFormat="false" ht="15" hidden="false" customHeight="false" outlineLevel="0" collapsed="false">
      <c r="A168" s="18"/>
      <c r="B168" s="19"/>
      <c r="C168" s="19"/>
      <c r="D168" s="19"/>
      <c r="E168" s="19"/>
      <c r="F168" s="20"/>
      <c r="G168" s="21"/>
      <c r="H168" s="14" t="str">
        <f aca="false">IF(OR($A168="",$D168="",$E168="",$F168=""),"",IFERROR($A168&amp;" / "&amp;IF(AND($F168=1,$D168=$E168),INDEX(Listas!$I$5:$I$25,MATCH($E168,Listas!$H$5:$H$25,0)),INDEX(Listas!$I$5:$I$25,MATCH($E168,Listas!$H$5:$H$25,0))&amp;" X "&amp;TEXT($F168,"0.####")&amp;" "&amp;INDEX(Listas!$I$5:$I$25,MATCH($D168,Listas!$H$5:$H$25,0))),"⚠ revisar la unidad"))</f>
        <v/>
      </c>
      <c r="I168" s="15" t="str">
        <f aca="false">IF(OR($F168="",$G168="",$F168=0),"",$G168/$F168)</f>
        <v/>
      </c>
      <c r="J168" s="22"/>
      <c r="K168" s="22"/>
      <c r="L168" s="22"/>
      <c r="M168" s="22"/>
      <c r="N168" s="22"/>
      <c r="O168" s="22"/>
      <c r="P168" s="23"/>
    </row>
    <row r="169" customFormat="false" ht="15" hidden="false" customHeight="false" outlineLevel="0" collapsed="false">
      <c r="A169" s="18"/>
      <c r="B169" s="19"/>
      <c r="C169" s="19"/>
      <c r="D169" s="19"/>
      <c r="E169" s="19"/>
      <c r="F169" s="20"/>
      <c r="G169" s="21"/>
      <c r="H169" s="14" t="str">
        <f aca="false">IF(OR($A169="",$D169="",$E169="",$F169=""),"",IFERROR($A169&amp;" / "&amp;IF(AND($F169=1,$D169=$E169),INDEX(Listas!$I$5:$I$25,MATCH($E169,Listas!$H$5:$H$25,0)),INDEX(Listas!$I$5:$I$25,MATCH($E169,Listas!$H$5:$H$25,0))&amp;" X "&amp;TEXT($F169,"0.####")&amp;" "&amp;INDEX(Listas!$I$5:$I$25,MATCH($D169,Listas!$H$5:$H$25,0))),"⚠ revisar la unidad"))</f>
        <v/>
      </c>
      <c r="I169" s="15" t="str">
        <f aca="false">IF(OR($F169="",$G169="",$F169=0),"",$G169/$F169)</f>
        <v/>
      </c>
      <c r="J169" s="22"/>
      <c r="K169" s="22"/>
      <c r="L169" s="22"/>
      <c r="M169" s="22"/>
      <c r="N169" s="22"/>
      <c r="O169" s="22"/>
      <c r="P169" s="23"/>
    </row>
    <row r="170" customFormat="false" ht="15" hidden="false" customHeight="false" outlineLevel="0" collapsed="false">
      <c r="A170" s="18"/>
      <c r="B170" s="19"/>
      <c r="C170" s="19"/>
      <c r="D170" s="19"/>
      <c r="E170" s="19"/>
      <c r="F170" s="20"/>
      <c r="G170" s="21"/>
      <c r="H170" s="14" t="str">
        <f aca="false">IF(OR($A170="",$D170="",$E170="",$F170=""),"",IFERROR($A170&amp;" / "&amp;IF(AND($F170=1,$D170=$E170),INDEX(Listas!$I$5:$I$25,MATCH($E170,Listas!$H$5:$H$25,0)),INDEX(Listas!$I$5:$I$25,MATCH($E170,Listas!$H$5:$H$25,0))&amp;" X "&amp;TEXT($F170,"0.####")&amp;" "&amp;INDEX(Listas!$I$5:$I$25,MATCH($D170,Listas!$H$5:$H$25,0))),"⚠ revisar la unidad"))</f>
        <v/>
      </c>
      <c r="I170" s="15" t="str">
        <f aca="false">IF(OR($F170="",$G170="",$F170=0),"",$G170/$F170)</f>
        <v/>
      </c>
      <c r="J170" s="22"/>
      <c r="K170" s="22"/>
      <c r="L170" s="22"/>
      <c r="M170" s="22"/>
      <c r="N170" s="22"/>
      <c r="O170" s="22"/>
      <c r="P170" s="23"/>
    </row>
    <row r="171" customFormat="false" ht="15" hidden="false" customHeight="false" outlineLevel="0" collapsed="false">
      <c r="A171" s="18"/>
      <c r="B171" s="19"/>
      <c r="C171" s="19"/>
      <c r="D171" s="19"/>
      <c r="E171" s="19"/>
      <c r="F171" s="20"/>
      <c r="G171" s="21"/>
      <c r="H171" s="14" t="str">
        <f aca="false">IF(OR($A171="",$D171="",$E171="",$F171=""),"",IFERROR($A171&amp;" / "&amp;IF(AND($F171=1,$D171=$E171),INDEX(Listas!$I$5:$I$25,MATCH($E171,Listas!$H$5:$H$25,0)),INDEX(Listas!$I$5:$I$25,MATCH($E171,Listas!$H$5:$H$25,0))&amp;" X "&amp;TEXT($F171,"0.####")&amp;" "&amp;INDEX(Listas!$I$5:$I$25,MATCH($D171,Listas!$H$5:$H$25,0))),"⚠ revisar la unidad"))</f>
        <v/>
      </c>
      <c r="I171" s="15" t="str">
        <f aca="false">IF(OR($F171="",$G171="",$F171=0),"",$G171/$F171)</f>
        <v/>
      </c>
      <c r="J171" s="22"/>
      <c r="K171" s="22"/>
      <c r="L171" s="22"/>
      <c r="M171" s="22"/>
      <c r="N171" s="22"/>
      <c r="O171" s="22"/>
      <c r="P171" s="23"/>
    </row>
    <row r="172" customFormat="false" ht="15" hidden="false" customHeight="false" outlineLevel="0" collapsed="false">
      <c r="A172" s="18"/>
      <c r="B172" s="19"/>
      <c r="C172" s="19"/>
      <c r="D172" s="19"/>
      <c r="E172" s="19"/>
      <c r="F172" s="20"/>
      <c r="G172" s="21"/>
      <c r="H172" s="14" t="str">
        <f aca="false">IF(OR($A172="",$D172="",$E172="",$F172=""),"",IFERROR($A172&amp;" / "&amp;IF(AND($F172=1,$D172=$E172),INDEX(Listas!$I$5:$I$25,MATCH($E172,Listas!$H$5:$H$25,0)),INDEX(Listas!$I$5:$I$25,MATCH($E172,Listas!$H$5:$H$25,0))&amp;" X "&amp;TEXT($F172,"0.####")&amp;" "&amp;INDEX(Listas!$I$5:$I$25,MATCH($D172,Listas!$H$5:$H$25,0))),"⚠ revisar la unidad"))</f>
        <v/>
      </c>
      <c r="I172" s="15" t="str">
        <f aca="false">IF(OR($F172="",$G172="",$F172=0),"",$G172/$F172)</f>
        <v/>
      </c>
      <c r="J172" s="22"/>
      <c r="K172" s="22"/>
      <c r="L172" s="22"/>
      <c r="M172" s="22"/>
      <c r="N172" s="22"/>
      <c r="O172" s="22"/>
      <c r="P172" s="23"/>
    </row>
    <row r="173" customFormat="false" ht="15" hidden="false" customHeight="false" outlineLevel="0" collapsed="false">
      <c r="A173" s="18"/>
      <c r="B173" s="19"/>
      <c r="C173" s="19"/>
      <c r="D173" s="19"/>
      <c r="E173" s="19"/>
      <c r="F173" s="20"/>
      <c r="G173" s="21"/>
      <c r="H173" s="14" t="str">
        <f aca="false">IF(OR($A173="",$D173="",$E173="",$F173=""),"",IFERROR($A173&amp;" / "&amp;IF(AND($F173=1,$D173=$E173),INDEX(Listas!$I$5:$I$25,MATCH($E173,Listas!$H$5:$H$25,0)),INDEX(Listas!$I$5:$I$25,MATCH($E173,Listas!$H$5:$H$25,0))&amp;" X "&amp;TEXT($F173,"0.####")&amp;" "&amp;INDEX(Listas!$I$5:$I$25,MATCH($D173,Listas!$H$5:$H$25,0))),"⚠ revisar la unidad"))</f>
        <v/>
      </c>
      <c r="I173" s="15" t="str">
        <f aca="false">IF(OR($F173="",$G173="",$F173=0),"",$G173/$F173)</f>
        <v/>
      </c>
      <c r="J173" s="22"/>
      <c r="K173" s="22"/>
      <c r="L173" s="22"/>
      <c r="M173" s="22"/>
      <c r="N173" s="22"/>
      <c r="O173" s="22"/>
      <c r="P173" s="23"/>
    </row>
    <row r="174" customFormat="false" ht="15" hidden="false" customHeight="false" outlineLevel="0" collapsed="false">
      <c r="A174" s="18"/>
      <c r="B174" s="19"/>
      <c r="C174" s="19"/>
      <c r="D174" s="19"/>
      <c r="E174" s="19"/>
      <c r="F174" s="20"/>
      <c r="G174" s="21"/>
      <c r="H174" s="14" t="str">
        <f aca="false">IF(OR($A174="",$D174="",$E174="",$F174=""),"",IFERROR($A174&amp;" / "&amp;IF(AND($F174=1,$D174=$E174),INDEX(Listas!$I$5:$I$25,MATCH($E174,Listas!$H$5:$H$25,0)),INDEX(Listas!$I$5:$I$25,MATCH($E174,Listas!$H$5:$H$25,0))&amp;" X "&amp;TEXT($F174,"0.####")&amp;" "&amp;INDEX(Listas!$I$5:$I$25,MATCH($D174,Listas!$H$5:$H$25,0))),"⚠ revisar la unidad"))</f>
        <v/>
      </c>
      <c r="I174" s="15" t="str">
        <f aca="false">IF(OR($F174="",$G174="",$F174=0),"",$G174/$F174)</f>
        <v/>
      </c>
      <c r="J174" s="22"/>
      <c r="K174" s="22"/>
      <c r="L174" s="22"/>
      <c r="M174" s="22"/>
      <c r="N174" s="22"/>
      <c r="O174" s="22"/>
      <c r="P174" s="23"/>
    </row>
    <row r="175" customFormat="false" ht="15" hidden="false" customHeight="false" outlineLevel="0" collapsed="false">
      <c r="A175" s="18"/>
      <c r="B175" s="19"/>
      <c r="C175" s="19"/>
      <c r="D175" s="19"/>
      <c r="E175" s="19"/>
      <c r="F175" s="20"/>
      <c r="G175" s="21"/>
      <c r="H175" s="14" t="str">
        <f aca="false">IF(OR($A175="",$D175="",$E175="",$F175=""),"",IFERROR($A175&amp;" / "&amp;IF(AND($F175=1,$D175=$E175),INDEX(Listas!$I$5:$I$25,MATCH($E175,Listas!$H$5:$H$25,0)),INDEX(Listas!$I$5:$I$25,MATCH($E175,Listas!$H$5:$H$25,0))&amp;" X "&amp;TEXT($F175,"0.####")&amp;" "&amp;INDEX(Listas!$I$5:$I$25,MATCH($D175,Listas!$H$5:$H$25,0))),"⚠ revisar la unidad"))</f>
        <v/>
      </c>
      <c r="I175" s="15" t="str">
        <f aca="false">IF(OR($F175="",$G175="",$F175=0),"",$G175/$F175)</f>
        <v/>
      </c>
      <c r="J175" s="22"/>
      <c r="K175" s="22"/>
      <c r="L175" s="22"/>
      <c r="M175" s="22"/>
      <c r="N175" s="22"/>
      <c r="O175" s="22"/>
      <c r="P175" s="23"/>
    </row>
    <row r="176" customFormat="false" ht="15" hidden="false" customHeight="false" outlineLevel="0" collapsed="false">
      <c r="A176" s="18"/>
      <c r="B176" s="19"/>
      <c r="C176" s="19"/>
      <c r="D176" s="19"/>
      <c r="E176" s="19"/>
      <c r="F176" s="20"/>
      <c r="G176" s="21"/>
      <c r="H176" s="14" t="str">
        <f aca="false">IF(OR($A176="",$D176="",$E176="",$F176=""),"",IFERROR($A176&amp;" / "&amp;IF(AND($F176=1,$D176=$E176),INDEX(Listas!$I$5:$I$25,MATCH($E176,Listas!$H$5:$H$25,0)),INDEX(Listas!$I$5:$I$25,MATCH($E176,Listas!$H$5:$H$25,0))&amp;" X "&amp;TEXT($F176,"0.####")&amp;" "&amp;INDEX(Listas!$I$5:$I$25,MATCH($D176,Listas!$H$5:$H$25,0))),"⚠ revisar la unidad"))</f>
        <v/>
      </c>
      <c r="I176" s="15" t="str">
        <f aca="false">IF(OR($F176="",$G176="",$F176=0),"",$G176/$F176)</f>
        <v/>
      </c>
      <c r="J176" s="22"/>
      <c r="K176" s="22"/>
      <c r="L176" s="22"/>
      <c r="M176" s="22"/>
      <c r="N176" s="22"/>
      <c r="O176" s="22"/>
      <c r="P176" s="23"/>
    </row>
    <row r="177" customFormat="false" ht="15" hidden="false" customHeight="false" outlineLevel="0" collapsed="false">
      <c r="A177" s="18"/>
      <c r="B177" s="19"/>
      <c r="C177" s="19"/>
      <c r="D177" s="19"/>
      <c r="E177" s="19"/>
      <c r="F177" s="20"/>
      <c r="G177" s="21"/>
      <c r="H177" s="14" t="str">
        <f aca="false">IF(OR($A177="",$D177="",$E177="",$F177=""),"",IFERROR($A177&amp;" / "&amp;IF(AND($F177=1,$D177=$E177),INDEX(Listas!$I$5:$I$25,MATCH($E177,Listas!$H$5:$H$25,0)),INDEX(Listas!$I$5:$I$25,MATCH($E177,Listas!$H$5:$H$25,0))&amp;" X "&amp;TEXT($F177,"0.####")&amp;" "&amp;INDEX(Listas!$I$5:$I$25,MATCH($D177,Listas!$H$5:$H$25,0))),"⚠ revisar la unidad"))</f>
        <v/>
      </c>
      <c r="I177" s="15" t="str">
        <f aca="false">IF(OR($F177="",$G177="",$F177=0),"",$G177/$F177)</f>
        <v/>
      </c>
      <c r="J177" s="22"/>
      <c r="K177" s="22"/>
      <c r="L177" s="22"/>
      <c r="M177" s="22"/>
      <c r="N177" s="22"/>
      <c r="O177" s="22"/>
      <c r="P177" s="23"/>
    </row>
    <row r="178" customFormat="false" ht="15" hidden="false" customHeight="false" outlineLevel="0" collapsed="false">
      <c r="A178" s="18"/>
      <c r="B178" s="19"/>
      <c r="C178" s="19"/>
      <c r="D178" s="19"/>
      <c r="E178" s="19"/>
      <c r="F178" s="20"/>
      <c r="G178" s="21"/>
      <c r="H178" s="14" t="str">
        <f aca="false">IF(OR($A178="",$D178="",$E178="",$F178=""),"",IFERROR($A178&amp;" / "&amp;IF(AND($F178=1,$D178=$E178),INDEX(Listas!$I$5:$I$25,MATCH($E178,Listas!$H$5:$H$25,0)),INDEX(Listas!$I$5:$I$25,MATCH($E178,Listas!$H$5:$H$25,0))&amp;" X "&amp;TEXT($F178,"0.####")&amp;" "&amp;INDEX(Listas!$I$5:$I$25,MATCH($D178,Listas!$H$5:$H$25,0))),"⚠ revisar la unidad"))</f>
        <v/>
      </c>
      <c r="I178" s="15" t="str">
        <f aca="false">IF(OR($F178="",$G178="",$F178=0),"",$G178/$F178)</f>
        <v/>
      </c>
      <c r="J178" s="22"/>
      <c r="K178" s="22"/>
      <c r="L178" s="22"/>
      <c r="M178" s="22"/>
      <c r="N178" s="22"/>
      <c r="O178" s="22"/>
      <c r="P178" s="23"/>
    </row>
    <row r="179" customFormat="false" ht="15" hidden="false" customHeight="false" outlineLevel="0" collapsed="false">
      <c r="A179" s="18"/>
      <c r="B179" s="19"/>
      <c r="C179" s="19"/>
      <c r="D179" s="19"/>
      <c r="E179" s="19"/>
      <c r="F179" s="20"/>
      <c r="G179" s="21"/>
      <c r="H179" s="14" t="str">
        <f aca="false">IF(OR($A179="",$D179="",$E179="",$F179=""),"",IFERROR($A179&amp;" / "&amp;IF(AND($F179=1,$D179=$E179),INDEX(Listas!$I$5:$I$25,MATCH($E179,Listas!$H$5:$H$25,0)),INDEX(Listas!$I$5:$I$25,MATCH($E179,Listas!$H$5:$H$25,0))&amp;" X "&amp;TEXT($F179,"0.####")&amp;" "&amp;INDEX(Listas!$I$5:$I$25,MATCH($D179,Listas!$H$5:$H$25,0))),"⚠ revisar la unidad"))</f>
        <v/>
      </c>
      <c r="I179" s="15" t="str">
        <f aca="false">IF(OR($F179="",$G179="",$F179=0),"",$G179/$F179)</f>
        <v/>
      </c>
      <c r="J179" s="22"/>
      <c r="K179" s="22"/>
      <c r="L179" s="22"/>
      <c r="M179" s="22"/>
      <c r="N179" s="22"/>
      <c r="O179" s="22"/>
      <c r="P179" s="23"/>
    </row>
    <row r="180" customFormat="false" ht="15" hidden="false" customHeight="false" outlineLevel="0" collapsed="false">
      <c r="A180" s="18"/>
      <c r="B180" s="19"/>
      <c r="C180" s="19"/>
      <c r="D180" s="19"/>
      <c r="E180" s="19"/>
      <c r="F180" s="20"/>
      <c r="G180" s="21"/>
      <c r="H180" s="14" t="str">
        <f aca="false">IF(OR($A180="",$D180="",$E180="",$F180=""),"",IFERROR($A180&amp;" / "&amp;IF(AND($F180=1,$D180=$E180),INDEX(Listas!$I$5:$I$25,MATCH($E180,Listas!$H$5:$H$25,0)),INDEX(Listas!$I$5:$I$25,MATCH($E180,Listas!$H$5:$H$25,0))&amp;" X "&amp;TEXT($F180,"0.####")&amp;" "&amp;INDEX(Listas!$I$5:$I$25,MATCH($D180,Listas!$H$5:$H$25,0))),"⚠ revisar la unidad"))</f>
        <v/>
      </c>
      <c r="I180" s="15" t="str">
        <f aca="false">IF(OR($F180="",$G180="",$F180=0),"",$G180/$F180)</f>
        <v/>
      </c>
      <c r="J180" s="22"/>
      <c r="K180" s="22"/>
      <c r="L180" s="22"/>
      <c r="M180" s="22"/>
      <c r="N180" s="22"/>
      <c r="O180" s="22"/>
      <c r="P180" s="23"/>
    </row>
    <row r="181" customFormat="false" ht="15" hidden="false" customHeight="false" outlineLevel="0" collapsed="false">
      <c r="A181" s="18"/>
      <c r="B181" s="19"/>
      <c r="C181" s="19"/>
      <c r="D181" s="19"/>
      <c r="E181" s="19"/>
      <c r="F181" s="20"/>
      <c r="G181" s="21"/>
      <c r="H181" s="14" t="str">
        <f aca="false">IF(OR($A181="",$D181="",$E181="",$F181=""),"",IFERROR($A181&amp;" / "&amp;IF(AND($F181=1,$D181=$E181),INDEX(Listas!$I$5:$I$25,MATCH($E181,Listas!$H$5:$H$25,0)),INDEX(Listas!$I$5:$I$25,MATCH($E181,Listas!$H$5:$H$25,0))&amp;" X "&amp;TEXT($F181,"0.####")&amp;" "&amp;INDEX(Listas!$I$5:$I$25,MATCH($D181,Listas!$H$5:$H$25,0))),"⚠ revisar la unidad"))</f>
        <v/>
      </c>
      <c r="I181" s="15" t="str">
        <f aca="false">IF(OR($F181="",$G181="",$F181=0),"",$G181/$F181)</f>
        <v/>
      </c>
      <c r="J181" s="22"/>
      <c r="K181" s="22"/>
      <c r="L181" s="22"/>
      <c r="M181" s="22"/>
      <c r="N181" s="22"/>
      <c r="O181" s="22"/>
      <c r="P181" s="23"/>
    </row>
    <row r="182" customFormat="false" ht="15" hidden="false" customHeight="false" outlineLevel="0" collapsed="false">
      <c r="A182" s="18"/>
      <c r="B182" s="19"/>
      <c r="C182" s="19"/>
      <c r="D182" s="19"/>
      <c r="E182" s="19"/>
      <c r="F182" s="20"/>
      <c r="G182" s="21"/>
      <c r="H182" s="14" t="str">
        <f aca="false">IF(OR($A182="",$D182="",$E182="",$F182=""),"",IFERROR($A182&amp;" / "&amp;IF(AND($F182=1,$D182=$E182),INDEX(Listas!$I$5:$I$25,MATCH($E182,Listas!$H$5:$H$25,0)),INDEX(Listas!$I$5:$I$25,MATCH($E182,Listas!$H$5:$H$25,0))&amp;" X "&amp;TEXT($F182,"0.####")&amp;" "&amp;INDEX(Listas!$I$5:$I$25,MATCH($D182,Listas!$H$5:$H$25,0))),"⚠ revisar la unidad"))</f>
        <v/>
      </c>
      <c r="I182" s="15" t="str">
        <f aca="false">IF(OR($F182="",$G182="",$F182=0),"",$G182/$F182)</f>
        <v/>
      </c>
      <c r="J182" s="22"/>
      <c r="K182" s="22"/>
      <c r="L182" s="22"/>
      <c r="M182" s="22"/>
      <c r="N182" s="22"/>
      <c r="O182" s="22"/>
      <c r="P182" s="23"/>
    </row>
    <row r="183" customFormat="false" ht="15" hidden="false" customHeight="false" outlineLevel="0" collapsed="false">
      <c r="A183" s="18"/>
      <c r="B183" s="19"/>
      <c r="C183" s="19"/>
      <c r="D183" s="19"/>
      <c r="E183" s="19"/>
      <c r="F183" s="20"/>
      <c r="G183" s="21"/>
      <c r="H183" s="14" t="str">
        <f aca="false">IF(OR($A183="",$D183="",$E183="",$F183=""),"",IFERROR($A183&amp;" / "&amp;IF(AND($F183=1,$D183=$E183),INDEX(Listas!$I$5:$I$25,MATCH($E183,Listas!$H$5:$H$25,0)),INDEX(Listas!$I$5:$I$25,MATCH($E183,Listas!$H$5:$H$25,0))&amp;" X "&amp;TEXT($F183,"0.####")&amp;" "&amp;INDEX(Listas!$I$5:$I$25,MATCH($D183,Listas!$H$5:$H$25,0))),"⚠ revisar la unidad"))</f>
        <v/>
      </c>
      <c r="I183" s="15" t="str">
        <f aca="false">IF(OR($F183="",$G183="",$F183=0),"",$G183/$F183)</f>
        <v/>
      </c>
      <c r="J183" s="22"/>
      <c r="K183" s="22"/>
      <c r="L183" s="22"/>
      <c r="M183" s="22"/>
      <c r="N183" s="22"/>
      <c r="O183" s="22"/>
      <c r="P183" s="23"/>
    </row>
    <row r="184" customFormat="false" ht="15" hidden="false" customHeight="false" outlineLevel="0" collapsed="false">
      <c r="A184" s="18"/>
      <c r="B184" s="19"/>
      <c r="C184" s="19"/>
      <c r="D184" s="19"/>
      <c r="E184" s="19"/>
      <c r="F184" s="20"/>
      <c r="G184" s="21"/>
      <c r="H184" s="14" t="str">
        <f aca="false">IF(OR($A184="",$D184="",$E184="",$F184=""),"",IFERROR($A184&amp;" / "&amp;IF(AND($F184=1,$D184=$E184),INDEX(Listas!$I$5:$I$25,MATCH($E184,Listas!$H$5:$H$25,0)),INDEX(Listas!$I$5:$I$25,MATCH($E184,Listas!$H$5:$H$25,0))&amp;" X "&amp;TEXT($F184,"0.####")&amp;" "&amp;INDEX(Listas!$I$5:$I$25,MATCH($D184,Listas!$H$5:$H$25,0))),"⚠ revisar la unidad"))</f>
        <v/>
      </c>
      <c r="I184" s="15" t="str">
        <f aca="false">IF(OR($F184="",$G184="",$F184=0),"",$G184/$F184)</f>
        <v/>
      </c>
      <c r="J184" s="22"/>
      <c r="K184" s="22"/>
      <c r="L184" s="22"/>
      <c r="M184" s="22"/>
      <c r="N184" s="22"/>
      <c r="O184" s="22"/>
      <c r="P184" s="23"/>
    </row>
    <row r="185" customFormat="false" ht="15" hidden="false" customHeight="false" outlineLevel="0" collapsed="false">
      <c r="A185" s="18"/>
      <c r="B185" s="19"/>
      <c r="C185" s="19"/>
      <c r="D185" s="19"/>
      <c r="E185" s="19"/>
      <c r="F185" s="20"/>
      <c r="G185" s="21"/>
      <c r="H185" s="14" t="str">
        <f aca="false">IF(OR($A185="",$D185="",$E185="",$F185=""),"",IFERROR($A185&amp;" / "&amp;IF(AND($F185=1,$D185=$E185),INDEX(Listas!$I$5:$I$25,MATCH($E185,Listas!$H$5:$H$25,0)),INDEX(Listas!$I$5:$I$25,MATCH($E185,Listas!$H$5:$H$25,0))&amp;" X "&amp;TEXT($F185,"0.####")&amp;" "&amp;INDEX(Listas!$I$5:$I$25,MATCH($D185,Listas!$H$5:$H$25,0))),"⚠ revisar la unidad"))</f>
        <v/>
      </c>
      <c r="I185" s="15" t="str">
        <f aca="false">IF(OR($F185="",$G185="",$F185=0),"",$G185/$F185)</f>
        <v/>
      </c>
      <c r="J185" s="22"/>
      <c r="K185" s="22"/>
      <c r="L185" s="22"/>
      <c r="M185" s="22"/>
      <c r="N185" s="22"/>
      <c r="O185" s="22"/>
      <c r="P185" s="23"/>
    </row>
    <row r="186" customFormat="false" ht="15" hidden="false" customHeight="false" outlineLevel="0" collapsed="false">
      <c r="A186" s="18"/>
      <c r="B186" s="19"/>
      <c r="C186" s="19"/>
      <c r="D186" s="19"/>
      <c r="E186" s="19"/>
      <c r="F186" s="20"/>
      <c r="G186" s="21"/>
      <c r="H186" s="14" t="str">
        <f aca="false">IF(OR($A186="",$D186="",$E186="",$F186=""),"",IFERROR($A186&amp;" / "&amp;IF(AND($F186=1,$D186=$E186),INDEX(Listas!$I$5:$I$25,MATCH($E186,Listas!$H$5:$H$25,0)),INDEX(Listas!$I$5:$I$25,MATCH($E186,Listas!$H$5:$H$25,0))&amp;" X "&amp;TEXT($F186,"0.####")&amp;" "&amp;INDEX(Listas!$I$5:$I$25,MATCH($D186,Listas!$H$5:$H$25,0))),"⚠ revisar la unidad"))</f>
        <v/>
      </c>
      <c r="I186" s="15" t="str">
        <f aca="false">IF(OR($F186="",$G186="",$F186=0),"",$G186/$F186)</f>
        <v/>
      </c>
      <c r="J186" s="22"/>
      <c r="K186" s="22"/>
      <c r="L186" s="22"/>
      <c r="M186" s="22"/>
      <c r="N186" s="22"/>
      <c r="O186" s="22"/>
      <c r="P186" s="23"/>
    </row>
    <row r="187" customFormat="false" ht="15" hidden="false" customHeight="false" outlineLevel="0" collapsed="false">
      <c r="A187" s="18"/>
      <c r="B187" s="19"/>
      <c r="C187" s="19"/>
      <c r="D187" s="19"/>
      <c r="E187" s="19"/>
      <c r="F187" s="20"/>
      <c r="G187" s="21"/>
      <c r="H187" s="14" t="str">
        <f aca="false">IF(OR($A187="",$D187="",$E187="",$F187=""),"",IFERROR($A187&amp;" / "&amp;IF(AND($F187=1,$D187=$E187),INDEX(Listas!$I$5:$I$25,MATCH($E187,Listas!$H$5:$H$25,0)),INDEX(Listas!$I$5:$I$25,MATCH($E187,Listas!$H$5:$H$25,0))&amp;" X "&amp;TEXT($F187,"0.####")&amp;" "&amp;INDEX(Listas!$I$5:$I$25,MATCH($D187,Listas!$H$5:$H$25,0))),"⚠ revisar la unidad"))</f>
        <v/>
      </c>
      <c r="I187" s="15" t="str">
        <f aca="false">IF(OR($F187="",$G187="",$F187=0),"",$G187/$F187)</f>
        <v/>
      </c>
      <c r="J187" s="22"/>
      <c r="K187" s="22"/>
      <c r="L187" s="22"/>
      <c r="M187" s="22"/>
      <c r="N187" s="22"/>
      <c r="O187" s="22"/>
      <c r="P187" s="23"/>
    </row>
    <row r="188" customFormat="false" ht="15" hidden="false" customHeight="false" outlineLevel="0" collapsed="false">
      <c r="A188" s="18"/>
      <c r="B188" s="19"/>
      <c r="C188" s="19"/>
      <c r="D188" s="19"/>
      <c r="E188" s="19"/>
      <c r="F188" s="20"/>
      <c r="G188" s="21"/>
      <c r="H188" s="14" t="str">
        <f aca="false">IF(OR($A188="",$D188="",$E188="",$F188=""),"",IFERROR($A188&amp;" / "&amp;IF(AND($F188=1,$D188=$E188),INDEX(Listas!$I$5:$I$25,MATCH($E188,Listas!$H$5:$H$25,0)),INDEX(Listas!$I$5:$I$25,MATCH($E188,Listas!$H$5:$H$25,0))&amp;" X "&amp;TEXT($F188,"0.####")&amp;" "&amp;INDEX(Listas!$I$5:$I$25,MATCH($D188,Listas!$H$5:$H$25,0))),"⚠ revisar la unidad"))</f>
        <v/>
      </c>
      <c r="I188" s="15" t="str">
        <f aca="false">IF(OR($F188="",$G188="",$F188=0),"",$G188/$F188)</f>
        <v/>
      </c>
      <c r="J188" s="22"/>
      <c r="K188" s="22"/>
      <c r="L188" s="22"/>
      <c r="M188" s="22"/>
      <c r="N188" s="22"/>
      <c r="O188" s="22"/>
      <c r="P188" s="23"/>
    </row>
    <row r="189" customFormat="false" ht="15" hidden="false" customHeight="false" outlineLevel="0" collapsed="false">
      <c r="A189" s="18"/>
      <c r="B189" s="19"/>
      <c r="C189" s="19"/>
      <c r="D189" s="19"/>
      <c r="E189" s="19"/>
      <c r="F189" s="20"/>
      <c r="G189" s="21"/>
      <c r="H189" s="14" t="str">
        <f aca="false">IF(OR($A189="",$D189="",$E189="",$F189=""),"",IFERROR($A189&amp;" / "&amp;IF(AND($F189=1,$D189=$E189),INDEX(Listas!$I$5:$I$25,MATCH($E189,Listas!$H$5:$H$25,0)),INDEX(Listas!$I$5:$I$25,MATCH($E189,Listas!$H$5:$H$25,0))&amp;" X "&amp;TEXT($F189,"0.####")&amp;" "&amp;INDEX(Listas!$I$5:$I$25,MATCH($D189,Listas!$H$5:$H$25,0))),"⚠ revisar la unidad"))</f>
        <v/>
      </c>
      <c r="I189" s="15" t="str">
        <f aca="false">IF(OR($F189="",$G189="",$F189=0),"",$G189/$F189)</f>
        <v/>
      </c>
      <c r="J189" s="22"/>
      <c r="K189" s="22"/>
      <c r="L189" s="22"/>
      <c r="M189" s="22"/>
      <c r="N189" s="22"/>
      <c r="O189" s="22"/>
      <c r="P189" s="23"/>
    </row>
    <row r="190" customFormat="false" ht="15" hidden="false" customHeight="false" outlineLevel="0" collapsed="false">
      <c r="A190" s="18"/>
      <c r="B190" s="19"/>
      <c r="C190" s="19"/>
      <c r="D190" s="19"/>
      <c r="E190" s="19"/>
      <c r="F190" s="20"/>
      <c r="G190" s="21"/>
      <c r="H190" s="14" t="str">
        <f aca="false">IF(OR($A190="",$D190="",$E190="",$F190=""),"",IFERROR($A190&amp;" / "&amp;IF(AND($F190=1,$D190=$E190),INDEX(Listas!$I$5:$I$25,MATCH($E190,Listas!$H$5:$H$25,0)),INDEX(Listas!$I$5:$I$25,MATCH($E190,Listas!$H$5:$H$25,0))&amp;" X "&amp;TEXT($F190,"0.####")&amp;" "&amp;INDEX(Listas!$I$5:$I$25,MATCH($D190,Listas!$H$5:$H$25,0))),"⚠ revisar la unidad"))</f>
        <v/>
      </c>
      <c r="I190" s="15" t="str">
        <f aca="false">IF(OR($F190="",$G190="",$F190=0),"",$G190/$F190)</f>
        <v/>
      </c>
      <c r="J190" s="22"/>
      <c r="K190" s="22"/>
      <c r="L190" s="22"/>
      <c r="M190" s="22"/>
      <c r="N190" s="22"/>
      <c r="O190" s="22"/>
      <c r="P190" s="23"/>
    </row>
    <row r="191" customFormat="false" ht="15" hidden="false" customHeight="false" outlineLevel="0" collapsed="false">
      <c r="A191" s="18"/>
      <c r="B191" s="19"/>
      <c r="C191" s="19"/>
      <c r="D191" s="19"/>
      <c r="E191" s="19"/>
      <c r="F191" s="20"/>
      <c r="G191" s="21"/>
      <c r="H191" s="14" t="str">
        <f aca="false">IF(OR($A191="",$D191="",$E191="",$F191=""),"",IFERROR($A191&amp;" / "&amp;IF(AND($F191=1,$D191=$E191),INDEX(Listas!$I$5:$I$25,MATCH($E191,Listas!$H$5:$H$25,0)),INDEX(Listas!$I$5:$I$25,MATCH($E191,Listas!$H$5:$H$25,0))&amp;" X "&amp;TEXT($F191,"0.####")&amp;" "&amp;INDEX(Listas!$I$5:$I$25,MATCH($D191,Listas!$H$5:$H$25,0))),"⚠ revisar la unidad"))</f>
        <v/>
      </c>
      <c r="I191" s="15" t="str">
        <f aca="false">IF(OR($F191="",$G191="",$F191=0),"",$G191/$F191)</f>
        <v/>
      </c>
      <c r="J191" s="22"/>
      <c r="K191" s="22"/>
      <c r="L191" s="22"/>
      <c r="M191" s="22"/>
      <c r="N191" s="22"/>
      <c r="O191" s="22"/>
      <c r="P191" s="23"/>
    </row>
    <row r="192" customFormat="false" ht="15" hidden="false" customHeight="false" outlineLevel="0" collapsed="false">
      <c r="A192" s="18"/>
      <c r="B192" s="19"/>
      <c r="C192" s="19"/>
      <c r="D192" s="19"/>
      <c r="E192" s="19"/>
      <c r="F192" s="20"/>
      <c r="G192" s="21"/>
      <c r="H192" s="14" t="str">
        <f aca="false">IF(OR($A192="",$D192="",$E192="",$F192=""),"",IFERROR($A192&amp;" / "&amp;IF(AND($F192=1,$D192=$E192),INDEX(Listas!$I$5:$I$25,MATCH($E192,Listas!$H$5:$H$25,0)),INDEX(Listas!$I$5:$I$25,MATCH($E192,Listas!$H$5:$H$25,0))&amp;" X "&amp;TEXT($F192,"0.####")&amp;" "&amp;INDEX(Listas!$I$5:$I$25,MATCH($D192,Listas!$H$5:$H$25,0))),"⚠ revisar la unidad"))</f>
        <v/>
      </c>
      <c r="I192" s="15" t="str">
        <f aca="false">IF(OR($F192="",$G192="",$F192=0),"",$G192/$F192)</f>
        <v/>
      </c>
      <c r="J192" s="22"/>
      <c r="K192" s="22"/>
      <c r="L192" s="22"/>
      <c r="M192" s="22"/>
      <c r="N192" s="22"/>
      <c r="O192" s="22"/>
      <c r="P192" s="23"/>
    </row>
    <row r="193" customFormat="false" ht="15" hidden="false" customHeight="false" outlineLevel="0" collapsed="false">
      <c r="A193" s="18"/>
      <c r="B193" s="19"/>
      <c r="C193" s="19"/>
      <c r="D193" s="19"/>
      <c r="E193" s="19"/>
      <c r="F193" s="20"/>
      <c r="G193" s="21"/>
      <c r="H193" s="14" t="str">
        <f aca="false">IF(OR($A193="",$D193="",$E193="",$F193=""),"",IFERROR($A193&amp;" / "&amp;IF(AND($F193=1,$D193=$E193),INDEX(Listas!$I$5:$I$25,MATCH($E193,Listas!$H$5:$H$25,0)),INDEX(Listas!$I$5:$I$25,MATCH($E193,Listas!$H$5:$H$25,0))&amp;" X "&amp;TEXT($F193,"0.####")&amp;" "&amp;INDEX(Listas!$I$5:$I$25,MATCH($D193,Listas!$H$5:$H$25,0))),"⚠ revisar la unidad"))</f>
        <v/>
      </c>
      <c r="I193" s="15" t="str">
        <f aca="false">IF(OR($F193="",$G193="",$F193=0),"",$G193/$F193)</f>
        <v/>
      </c>
      <c r="J193" s="22"/>
      <c r="K193" s="22"/>
      <c r="L193" s="22"/>
      <c r="M193" s="22"/>
      <c r="N193" s="22"/>
      <c r="O193" s="22"/>
      <c r="P193" s="23"/>
    </row>
    <row r="194" customFormat="false" ht="15" hidden="false" customHeight="false" outlineLevel="0" collapsed="false">
      <c r="A194" s="18"/>
      <c r="B194" s="19"/>
      <c r="C194" s="19"/>
      <c r="D194" s="19"/>
      <c r="E194" s="19"/>
      <c r="F194" s="20"/>
      <c r="G194" s="21"/>
      <c r="H194" s="14" t="str">
        <f aca="false">IF(OR($A194="",$D194="",$E194="",$F194=""),"",IFERROR($A194&amp;" / "&amp;IF(AND($F194=1,$D194=$E194),INDEX(Listas!$I$5:$I$25,MATCH($E194,Listas!$H$5:$H$25,0)),INDEX(Listas!$I$5:$I$25,MATCH($E194,Listas!$H$5:$H$25,0))&amp;" X "&amp;TEXT($F194,"0.####")&amp;" "&amp;INDEX(Listas!$I$5:$I$25,MATCH($D194,Listas!$H$5:$H$25,0))),"⚠ revisar la unidad"))</f>
        <v/>
      </c>
      <c r="I194" s="15" t="str">
        <f aca="false">IF(OR($F194="",$G194="",$F194=0),"",$G194/$F194)</f>
        <v/>
      </c>
      <c r="J194" s="22"/>
      <c r="K194" s="22"/>
      <c r="L194" s="22"/>
      <c r="M194" s="22"/>
      <c r="N194" s="22"/>
      <c r="O194" s="22"/>
      <c r="P194" s="23"/>
    </row>
    <row r="195" customFormat="false" ht="15" hidden="false" customHeight="false" outlineLevel="0" collapsed="false">
      <c r="A195" s="18"/>
      <c r="B195" s="19"/>
      <c r="C195" s="19"/>
      <c r="D195" s="19"/>
      <c r="E195" s="19"/>
      <c r="F195" s="20"/>
      <c r="G195" s="21"/>
      <c r="H195" s="14" t="str">
        <f aca="false">IF(OR($A195="",$D195="",$E195="",$F195=""),"",IFERROR($A195&amp;" / "&amp;IF(AND($F195=1,$D195=$E195),INDEX(Listas!$I$5:$I$25,MATCH($E195,Listas!$H$5:$H$25,0)),INDEX(Listas!$I$5:$I$25,MATCH($E195,Listas!$H$5:$H$25,0))&amp;" X "&amp;TEXT($F195,"0.####")&amp;" "&amp;INDEX(Listas!$I$5:$I$25,MATCH($D195,Listas!$H$5:$H$25,0))),"⚠ revisar la unidad"))</f>
        <v/>
      </c>
      <c r="I195" s="15" t="str">
        <f aca="false">IF(OR($F195="",$G195="",$F195=0),"",$G195/$F195)</f>
        <v/>
      </c>
      <c r="J195" s="22"/>
      <c r="K195" s="22"/>
      <c r="L195" s="22"/>
      <c r="M195" s="22"/>
      <c r="N195" s="22"/>
      <c r="O195" s="22"/>
      <c r="P195" s="23"/>
    </row>
    <row r="196" customFormat="false" ht="15" hidden="false" customHeight="false" outlineLevel="0" collapsed="false">
      <c r="A196" s="18"/>
      <c r="B196" s="19"/>
      <c r="C196" s="19"/>
      <c r="D196" s="19"/>
      <c r="E196" s="19"/>
      <c r="F196" s="20"/>
      <c r="G196" s="21"/>
      <c r="H196" s="14" t="str">
        <f aca="false">IF(OR($A196="",$D196="",$E196="",$F196=""),"",IFERROR($A196&amp;" / "&amp;IF(AND($F196=1,$D196=$E196),INDEX(Listas!$I$5:$I$25,MATCH($E196,Listas!$H$5:$H$25,0)),INDEX(Listas!$I$5:$I$25,MATCH($E196,Listas!$H$5:$H$25,0))&amp;" X "&amp;TEXT($F196,"0.####")&amp;" "&amp;INDEX(Listas!$I$5:$I$25,MATCH($D196,Listas!$H$5:$H$25,0))),"⚠ revisar la unidad"))</f>
        <v/>
      </c>
      <c r="I196" s="15" t="str">
        <f aca="false">IF(OR($F196="",$G196="",$F196=0),"",$G196/$F196)</f>
        <v/>
      </c>
      <c r="J196" s="22"/>
      <c r="K196" s="22"/>
      <c r="L196" s="22"/>
      <c r="M196" s="22"/>
      <c r="N196" s="22"/>
      <c r="O196" s="22"/>
      <c r="P196" s="23"/>
    </row>
    <row r="197" customFormat="false" ht="15" hidden="false" customHeight="false" outlineLevel="0" collapsed="false">
      <c r="A197" s="18"/>
      <c r="B197" s="19"/>
      <c r="C197" s="19"/>
      <c r="D197" s="19"/>
      <c r="E197" s="19"/>
      <c r="F197" s="20"/>
      <c r="G197" s="21"/>
      <c r="H197" s="14" t="str">
        <f aca="false">IF(OR($A197="",$D197="",$E197="",$F197=""),"",IFERROR($A197&amp;" / "&amp;IF(AND($F197=1,$D197=$E197),INDEX(Listas!$I$5:$I$25,MATCH($E197,Listas!$H$5:$H$25,0)),INDEX(Listas!$I$5:$I$25,MATCH($E197,Listas!$H$5:$H$25,0))&amp;" X "&amp;TEXT($F197,"0.####")&amp;" "&amp;INDEX(Listas!$I$5:$I$25,MATCH($D197,Listas!$H$5:$H$25,0))),"⚠ revisar la unidad"))</f>
        <v/>
      </c>
      <c r="I197" s="15" t="str">
        <f aca="false">IF(OR($F197="",$G197="",$F197=0),"",$G197/$F197)</f>
        <v/>
      </c>
      <c r="J197" s="22"/>
      <c r="K197" s="22"/>
      <c r="L197" s="22"/>
      <c r="M197" s="22"/>
      <c r="N197" s="22"/>
      <c r="O197" s="22"/>
      <c r="P197" s="23"/>
    </row>
    <row r="198" customFormat="false" ht="15" hidden="false" customHeight="false" outlineLevel="0" collapsed="false">
      <c r="A198" s="18"/>
      <c r="B198" s="19"/>
      <c r="C198" s="19"/>
      <c r="D198" s="19"/>
      <c r="E198" s="19"/>
      <c r="F198" s="20"/>
      <c r="G198" s="21"/>
      <c r="H198" s="14" t="str">
        <f aca="false">IF(OR($A198="",$D198="",$E198="",$F198=""),"",IFERROR($A198&amp;" / "&amp;IF(AND($F198=1,$D198=$E198),INDEX(Listas!$I$5:$I$25,MATCH($E198,Listas!$H$5:$H$25,0)),INDEX(Listas!$I$5:$I$25,MATCH($E198,Listas!$H$5:$H$25,0))&amp;" X "&amp;TEXT($F198,"0.####")&amp;" "&amp;INDEX(Listas!$I$5:$I$25,MATCH($D198,Listas!$H$5:$H$25,0))),"⚠ revisar la unidad"))</f>
        <v/>
      </c>
      <c r="I198" s="15" t="str">
        <f aca="false">IF(OR($F198="",$G198="",$F198=0),"",$G198/$F198)</f>
        <v/>
      </c>
      <c r="J198" s="22"/>
      <c r="K198" s="22"/>
      <c r="L198" s="22"/>
      <c r="M198" s="22"/>
      <c r="N198" s="22"/>
      <c r="O198" s="22"/>
      <c r="P198" s="23"/>
    </row>
    <row r="199" customFormat="false" ht="15" hidden="false" customHeight="false" outlineLevel="0" collapsed="false">
      <c r="A199" s="18"/>
      <c r="B199" s="19"/>
      <c r="C199" s="19"/>
      <c r="D199" s="19"/>
      <c r="E199" s="19"/>
      <c r="F199" s="20"/>
      <c r="G199" s="21"/>
      <c r="H199" s="14" t="str">
        <f aca="false">IF(OR($A199="",$D199="",$E199="",$F199=""),"",IFERROR($A199&amp;" / "&amp;IF(AND($F199=1,$D199=$E199),INDEX(Listas!$I$5:$I$25,MATCH($E199,Listas!$H$5:$H$25,0)),INDEX(Listas!$I$5:$I$25,MATCH($E199,Listas!$H$5:$H$25,0))&amp;" X "&amp;TEXT($F199,"0.####")&amp;" "&amp;INDEX(Listas!$I$5:$I$25,MATCH($D199,Listas!$H$5:$H$25,0))),"⚠ revisar la unidad"))</f>
        <v/>
      </c>
      <c r="I199" s="15" t="str">
        <f aca="false">IF(OR($F199="",$G199="",$F199=0),"",$G199/$F199)</f>
        <v/>
      </c>
      <c r="J199" s="22"/>
      <c r="K199" s="22"/>
      <c r="L199" s="22"/>
      <c r="M199" s="22"/>
      <c r="N199" s="22"/>
      <c r="O199" s="22"/>
      <c r="P199" s="23"/>
    </row>
    <row r="200" customFormat="false" ht="15" hidden="false" customHeight="false" outlineLevel="0" collapsed="false">
      <c r="A200" s="18"/>
      <c r="B200" s="19"/>
      <c r="C200" s="19"/>
      <c r="D200" s="19"/>
      <c r="E200" s="19"/>
      <c r="F200" s="20"/>
      <c r="G200" s="21"/>
      <c r="H200" s="14" t="str">
        <f aca="false">IF(OR($A200="",$D200="",$E200="",$F200=""),"",IFERROR($A200&amp;" / "&amp;IF(AND($F200=1,$D200=$E200),INDEX(Listas!$I$5:$I$25,MATCH($E200,Listas!$H$5:$H$25,0)),INDEX(Listas!$I$5:$I$25,MATCH($E200,Listas!$H$5:$H$25,0))&amp;" X "&amp;TEXT($F200,"0.####")&amp;" "&amp;INDEX(Listas!$I$5:$I$25,MATCH($D200,Listas!$H$5:$H$25,0))),"⚠ revisar la unidad"))</f>
        <v/>
      </c>
      <c r="I200" s="15" t="str">
        <f aca="false">IF(OR($F200="",$G200="",$F200=0),"",$G200/$F200)</f>
        <v/>
      </c>
      <c r="J200" s="22"/>
      <c r="K200" s="22"/>
      <c r="L200" s="22"/>
      <c r="M200" s="22"/>
      <c r="N200" s="22"/>
      <c r="O200" s="22"/>
      <c r="P200" s="23"/>
    </row>
    <row r="201" customFormat="false" ht="15" hidden="false" customHeight="false" outlineLevel="0" collapsed="false">
      <c r="A201" s="18"/>
      <c r="B201" s="19"/>
      <c r="C201" s="19"/>
      <c r="D201" s="19"/>
      <c r="E201" s="19"/>
      <c r="F201" s="20"/>
      <c r="G201" s="21"/>
      <c r="H201" s="14" t="str">
        <f aca="false">IF(OR($A201="",$D201="",$E201="",$F201=""),"",IFERROR($A201&amp;" / "&amp;IF(AND($F201=1,$D201=$E201),INDEX(Listas!$I$5:$I$25,MATCH($E201,Listas!$H$5:$H$25,0)),INDEX(Listas!$I$5:$I$25,MATCH($E201,Listas!$H$5:$H$25,0))&amp;" X "&amp;TEXT($F201,"0.####")&amp;" "&amp;INDEX(Listas!$I$5:$I$25,MATCH($D201,Listas!$H$5:$H$25,0))),"⚠ revisar la unidad"))</f>
        <v/>
      </c>
      <c r="I201" s="15" t="str">
        <f aca="false">IF(OR($F201="",$G201="",$F201=0),"",$G201/$F201)</f>
        <v/>
      </c>
      <c r="J201" s="22"/>
      <c r="K201" s="22"/>
      <c r="L201" s="22"/>
      <c r="M201" s="22"/>
      <c r="N201" s="22"/>
      <c r="O201" s="22"/>
      <c r="P201" s="23"/>
    </row>
    <row r="202" customFormat="false" ht="15" hidden="false" customHeight="false" outlineLevel="0" collapsed="false">
      <c r="A202" s="18"/>
      <c r="B202" s="19"/>
      <c r="C202" s="19"/>
      <c r="D202" s="19"/>
      <c r="E202" s="19"/>
      <c r="F202" s="20"/>
      <c r="G202" s="21"/>
      <c r="H202" s="14" t="str">
        <f aca="false">IF(OR($A202="",$D202="",$E202="",$F202=""),"",IFERROR($A202&amp;" / "&amp;IF(AND($F202=1,$D202=$E202),INDEX(Listas!$I$5:$I$25,MATCH($E202,Listas!$H$5:$H$25,0)),INDEX(Listas!$I$5:$I$25,MATCH($E202,Listas!$H$5:$H$25,0))&amp;" X "&amp;TEXT($F202,"0.####")&amp;" "&amp;INDEX(Listas!$I$5:$I$25,MATCH($D202,Listas!$H$5:$H$25,0))),"⚠ revisar la unidad"))</f>
        <v/>
      </c>
      <c r="I202" s="15" t="str">
        <f aca="false">IF(OR($F202="",$G202="",$F202=0),"",$G202/$F202)</f>
        <v/>
      </c>
      <c r="J202" s="22"/>
      <c r="K202" s="22"/>
      <c r="L202" s="22"/>
      <c r="M202" s="22"/>
      <c r="N202" s="22"/>
      <c r="O202" s="22"/>
      <c r="P202" s="23"/>
    </row>
    <row r="203" customFormat="false" ht="15" hidden="false" customHeight="false" outlineLevel="0" collapsed="false">
      <c r="A203" s="18"/>
      <c r="B203" s="19"/>
      <c r="C203" s="19"/>
      <c r="D203" s="19"/>
      <c r="E203" s="19"/>
      <c r="F203" s="20"/>
      <c r="G203" s="21"/>
      <c r="H203" s="14" t="str">
        <f aca="false">IF(OR($A203="",$D203="",$E203="",$F203=""),"",IFERROR($A203&amp;" / "&amp;IF(AND($F203=1,$D203=$E203),INDEX(Listas!$I$5:$I$25,MATCH($E203,Listas!$H$5:$H$25,0)),INDEX(Listas!$I$5:$I$25,MATCH($E203,Listas!$H$5:$H$25,0))&amp;" X "&amp;TEXT($F203,"0.####")&amp;" "&amp;INDEX(Listas!$I$5:$I$25,MATCH($D203,Listas!$H$5:$H$25,0))),"⚠ revisar la unidad"))</f>
        <v/>
      </c>
      <c r="I203" s="15" t="str">
        <f aca="false">IF(OR($F203="",$G203="",$F203=0),"",$G203/$F203)</f>
        <v/>
      </c>
      <c r="J203" s="22"/>
      <c r="K203" s="22"/>
      <c r="L203" s="22"/>
      <c r="M203" s="22"/>
      <c r="N203" s="22"/>
      <c r="O203" s="22"/>
      <c r="P203" s="23"/>
    </row>
    <row r="204" customFormat="false" ht="15" hidden="false" customHeight="false" outlineLevel="0" collapsed="false">
      <c r="A204" s="18"/>
      <c r="B204" s="19"/>
      <c r="C204" s="19"/>
      <c r="D204" s="19"/>
      <c r="E204" s="19"/>
      <c r="F204" s="20"/>
      <c r="G204" s="21"/>
      <c r="H204" s="14" t="str">
        <f aca="false">IF(OR($A204="",$D204="",$E204="",$F204=""),"",IFERROR($A204&amp;" / "&amp;IF(AND($F204=1,$D204=$E204),INDEX(Listas!$I$5:$I$25,MATCH($E204,Listas!$H$5:$H$25,0)),INDEX(Listas!$I$5:$I$25,MATCH($E204,Listas!$H$5:$H$25,0))&amp;" X "&amp;TEXT($F204,"0.####")&amp;" "&amp;INDEX(Listas!$I$5:$I$25,MATCH($D204,Listas!$H$5:$H$25,0))),"⚠ revisar la unidad"))</f>
        <v/>
      </c>
      <c r="I204" s="15" t="str">
        <f aca="false">IF(OR($F204="",$G204="",$F204=0),"",$G204/$F204)</f>
        <v/>
      </c>
      <c r="J204" s="22"/>
      <c r="K204" s="22"/>
      <c r="L204" s="22"/>
      <c r="M204" s="22"/>
      <c r="N204" s="22"/>
      <c r="O204" s="22"/>
      <c r="P204" s="23"/>
    </row>
    <row r="205" customFormat="false" ht="15" hidden="false" customHeight="false" outlineLevel="0" collapsed="false">
      <c r="A205" s="18"/>
      <c r="B205" s="19"/>
      <c r="C205" s="19"/>
      <c r="D205" s="19"/>
      <c r="E205" s="19"/>
      <c r="F205" s="20"/>
      <c r="G205" s="21"/>
      <c r="H205" s="14" t="str">
        <f aca="false">IF(OR($A205="",$D205="",$E205="",$F205=""),"",IFERROR($A205&amp;" / "&amp;IF(AND($F205=1,$D205=$E205),INDEX(Listas!$I$5:$I$25,MATCH($E205,Listas!$H$5:$H$25,0)),INDEX(Listas!$I$5:$I$25,MATCH($E205,Listas!$H$5:$H$25,0))&amp;" X "&amp;TEXT($F205,"0.####")&amp;" "&amp;INDEX(Listas!$I$5:$I$25,MATCH($D205,Listas!$H$5:$H$25,0))),"⚠ revisar la unidad"))</f>
        <v/>
      </c>
      <c r="I205" s="15" t="str">
        <f aca="false">IF(OR($F205="",$G205="",$F205=0),"",$G205/$F205)</f>
        <v/>
      </c>
      <c r="J205" s="22"/>
      <c r="K205" s="22"/>
      <c r="L205" s="22"/>
      <c r="M205" s="22"/>
      <c r="N205" s="22"/>
      <c r="O205" s="22"/>
      <c r="P205" s="23"/>
    </row>
    <row r="206" customFormat="false" ht="15" hidden="false" customHeight="false" outlineLevel="0" collapsed="false">
      <c r="A206" s="18"/>
      <c r="B206" s="19"/>
      <c r="C206" s="19"/>
      <c r="D206" s="19"/>
      <c r="E206" s="19"/>
      <c r="F206" s="20"/>
      <c r="G206" s="21"/>
      <c r="H206" s="14" t="str">
        <f aca="false">IF(OR($A206="",$D206="",$E206="",$F206=""),"",IFERROR($A206&amp;" / "&amp;IF(AND($F206=1,$D206=$E206),INDEX(Listas!$I$5:$I$25,MATCH($E206,Listas!$H$5:$H$25,0)),INDEX(Listas!$I$5:$I$25,MATCH($E206,Listas!$H$5:$H$25,0))&amp;" X "&amp;TEXT($F206,"0.####")&amp;" "&amp;INDEX(Listas!$I$5:$I$25,MATCH($D206,Listas!$H$5:$H$25,0))),"⚠ revisar la unidad"))</f>
        <v/>
      </c>
      <c r="I206" s="15" t="str">
        <f aca="false">IF(OR($F206="",$G206="",$F206=0),"",$G206/$F206)</f>
        <v/>
      </c>
      <c r="J206" s="22"/>
      <c r="K206" s="22"/>
      <c r="L206" s="22"/>
      <c r="M206" s="22"/>
      <c r="N206" s="22"/>
      <c r="O206" s="22"/>
      <c r="P206" s="23"/>
    </row>
    <row r="207" customFormat="false" ht="15" hidden="false" customHeight="false" outlineLevel="0" collapsed="false">
      <c r="A207" s="18"/>
      <c r="B207" s="19"/>
      <c r="C207" s="19"/>
      <c r="D207" s="19"/>
      <c r="E207" s="19"/>
      <c r="F207" s="20"/>
      <c r="G207" s="21"/>
      <c r="H207" s="14" t="str">
        <f aca="false">IF(OR($A207="",$D207="",$E207="",$F207=""),"",IFERROR($A207&amp;" / "&amp;IF(AND($F207=1,$D207=$E207),INDEX(Listas!$I$5:$I$25,MATCH($E207,Listas!$H$5:$H$25,0)),INDEX(Listas!$I$5:$I$25,MATCH($E207,Listas!$H$5:$H$25,0))&amp;" X "&amp;TEXT($F207,"0.####")&amp;" "&amp;INDEX(Listas!$I$5:$I$25,MATCH($D207,Listas!$H$5:$H$25,0))),"⚠ revisar la unidad"))</f>
        <v/>
      </c>
      <c r="I207" s="15" t="str">
        <f aca="false">IF(OR($F207="",$G207="",$F207=0),"",$G207/$F207)</f>
        <v/>
      </c>
      <c r="J207" s="22"/>
      <c r="K207" s="22"/>
      <c r="L207" s="22"/>
      <c r="M207" s="22"/>
      <c r="N207" s="22"/>
      <c r="O207" s="22"/>
      <c r="P207" s="23"/>
    </row>
    <row r="208" customFormat="false" ht="15" hidden="false" customHeight="false" outlineLevel="0" collapsed="false">
      <c r="A208" s="18"/>
      <c r="B208" s="19"/>
      <c r="C208" s="19"/>
      <c r="D208" s="19"/>
      <c r="E208" s="19"/>
      <c r="F208" s="20"/>
      <c r="G208" s="21"/>
      <c r="H208" s="14" t="str">
        <f aca="false">IF(OR($A208="",$D208="",$E208="",$F208=""),"",IFERROR($A208&amp;" / "&amp;IF(AND($F208=1,$D208=$E208),INDEX(Listas!$I$5:$I$25,MATCH($E208,Listas!$H$5:$H$25,0)),INDEX(Listas!$I$5:$I$25,MATCH($E208,Listas!$H$5:$H$25,0))&amp;" X "&amp;TEXT($F208,"0.####")&amp;" "&amp;INDEX(Listas!$I$5:$I$25,MATCH($D208,Listas!$H$5:$H$25,0))),"⚠ revisar la unidad"))</f>
        <v/>
      </c>
      <c r="I208" s="15" t="str">
        <f aca="false">IF(OR($F208="",$G208="",$F208=0),"",$G208/$F208)</f>
        <v/>
      </c>
      <c r="J208" s="22"/>
      <c r="K208" s="22"/>
      <c r="L208" s="22"/>
      <c r="M208" s="22"/>
      <c r="N208" s="22"/>
      <c r="O208" s="22"/>
      <c r="P208" s="23"/>
    </row>
    <row r="209" customFormat="false" ht="15" hidden="false" customHeight="false" outlineLevel="0" collapsed="false">
      <c r="A209" s="18"/>
      <c r="B209" s="19"/>
      <c r="C209" s="19"/>
      <c r="D209" s="19"/>
      <c r="E209" s="19"/>
      <c r="F209" s="20"/>
      <c r="G209" s="21"/>
      <c r="H209" s="14" t="str">
        <f aca="false">IF(OR($A209="",$D209="",$E209="",$F209=""),"",IFERROR($A209&amp;" / "&amp;IF(AND($F209=1,$D209=$E209),INDEX(Listas!$I$5:$I$25,MATCH($E209,Listas!$H$5:$H$25,0)),INDEX(Listas!$I$5:$I$25,MATCH($E209,Listas!$H$5:$H$25,0))&amp;" X "&amp;TEXT($F209,"0.####")&amp;" "&amp;INDEX(Listas!$I$5:$I$25,MATCH($D209,Listas!$H$5:$H$25,0))),"⚠ revisar la unidad"))</f>
        <v/>
      </c>
      <c r="I209" s="15" t="str">
        <f aca="false">IF(OR($F209="",$G209="",$F209=0),"",$G209/$F209)</f>
        <v/>
      </c>
      <c r="J209" s="22"/>
      <c r="K209" s="22"/>
      <c r="L209" s="22"/>
      <c r="M209" s="22"/>
      <c r="N209" s="22"/>
      <c r="O209" s="22"/>
      <c r="P209" s="23"/>
    </row>
    <row r="210" customFormat="false" ht="15" hidden="false" customHeight="false" outlineLevel="0" collapsed="false">
      <c r="A210" s="18"/>
      <c r="B210" s="19"/>
      <c r="C210" s="19"/>
      <c r="D210" s="19"/>
      <c r="E210" s="19"/>
      <c r="F210" s="20"/>
      <c r="G210" s="21"/>
      <c r="H210" s="14" t="str">
        <f aca="false">IF(OR($A210="",$D210="",$E210="",$F210=""),"",IFERROR($A210&amp;" / "&amp;IF(AND($F210=1,$D210=$E210),INDEX(Listas!$I$5:$I$25,MATCH($E210,Listas!$H$5:$H$25,0)),INDEX(Listas!$I$5:$I$25,MATCH($E210,Listas!$H$5:$H$25,0))&amp;" X "&amp;TEXT($F210,"0.####")&amp;" "&amp;INDEX(Listas!$I$5:$I$25,MATCH($D210,Listas!$H$5:$H$25,0))),"⚠ revisar la unidad"))</f>
        <v/>
      </c>
      <c r="I210" s="15" t="str">
        <f aca="false">IF(OR($F210="",$G210="",$F210=0),"",$G210/$F210)</f>
        <v/>
      </c>
      <c r="J210" s="22"/>
      <c r="K210" s="22"/>
      <c r="L210" s="22"/>
      <c r="M210" s="22"/>
      <c r="N210" s="22"/>
      <c r="O210" s="22"/>
      <c r="P210" s="23"/>
    </row>
    <row r="211" customFormat="false" ht="15" hidden="false" customHeight="false" outlineLevel="0" collapsed="false">
      <c r="A211" s="18"/>
      <c r="B211" s="19"/>
      <c r="C211" s="19"/>
      <c r="D211" s="19"/>
      <c r="E211" s="19"/>
      <c r="F211" s="20"/>
      <c r="G211" s="21"/>
      <c r="H211" s="14" t="str">
        <f aca="false">IF(OR($A211="",$D211="",$E211="",$F211=""),"",IFERROR($A211&amp;" / "&amp;IF(AND($F211=1,$D211=$E211),INDEX(Listas!$I$5:$I$25,MATCH($E211,Listas!$H$5:$H$25,0)),INDEX(Listas!$I$5:$I$25,MATCH($E211,Listas!$H$5:$H$25,0))&amp;" X "&amp;TEXT($F211,"0.####")&amp;" "&amp;INDEX(Listas!$I$5:$I$25,MATCH($D211,Listas!$H$5:$H$25,0))),"⚠ revisar la unidad"))</f>
        <v/>
      </c>
      <c r="I211" s="15" t="str">
        <f aca="false">IF(OR($F211="",$G211="",$F211=0),"",$G211/$F211)</f>
        <v/>
      </c>
      <c r="J211" s="22"/>
      <c r="K211" s="22"/>
      <c r="L211" s="22"/>
      <c r="M211" s="22"/>
      <c r="N211" s="22"/>
      <c r="O211" s="22"/>
      <c r="P211" s="23"/>
    </row>
    <row r="212" customFormat="false" ht="15" hidden="false" customHeight="false" outlineLevel="0" collapsed="false">
      <c r="A212" s="18"/>
      <c r="B212" s="19"/>
      <c r="C212" s="19"/>
      <c r="D212" s="19"/>
      <c r="E212" s="19"/>
      <c r="F212" s="20"/>
      <c r="G212" s="21"/>
      <c r="H212" s="14" t="str">
        <f aca="false">IF(OR($A212="",$D212="",$E212="",$F212=""),"",IFERROR($A212&amp;" / "&amp;IF(AND($F212=1,$D212=$E212),INDEX(Listas!$I$5:$I$25,MATCH($E212,Listas!$H$5:$H$25,0)),INDEX(Listas!$I$5:$I$25,MATCH($E212,Listas!$H$5:$H$25,0))&amp;" X "&amp;TEXT($F212,"0.####")&amp;" "&amp;INDEX(Listas!$I$5:$I$25,MATCH($D212,Listas!$H$5:$H$25,0))),"⚠ revisar la unidad"))</f>
        <v/>
      </c>
      <c r="I212" s="15" t="str">
        <f aca="false">IF(OR($F212="",$G212="",$F212=0),"",$G212/$F212)</f>
        <v/>
      </c>
      <c r="J212" s="22"/>
      <c r="K212" s="22"/>
      <c r="L212" s="22"/>
      <c r="M212" s="22"/>
      <c r="N212" s="22"/>
      <c r="O212" s="22"/>
      <c r="P212" s="23"/>
    </row>
    <row r="213" customFormat="false" ht="15" hidden="false" customHeight="false" outlineLevel="0" collapsed="false">
      <c r="A213" s="18"/>
      <c r="B213" s="19"/>
      <c r="C213" s="19"/>
      <c r="D213" s="19"/>
      <c r="E213" s="19"/>
      <c r="F213" s="20"/>
      <c r="G213" s="21"/>
      <c r="H213" s="14" t="str">
        <f aca="false">IF(OR($A213="",$D213="",$E213="",$F213=""),"",IFERROR($A213&amp;" / "&amp;IF(AND($F213=1,$D213=$E213),INDEX(Listas!$I$5:$I$25,MATCH($E213,Listas!$H$5:$H$25,0)),INDEX(Listas!$I$5:$I$25,MATCH($E213,Listas!$H$5:$H$25,0))&amp;" X "&amp;TEXT($F213,"0.####")&amp;" "&amp;INDEX(Listas!$I$5:$I$25,MATCH($D213,Listas!$H$5:$H$25,0))),"⚠ revisar la unidad"))</f>
        <v/>
      </c>
      <c r="I213" s="15" t="str">
        <f aca="false">IF(OR($F213="",$G213="",$F213=0),"",$G213/$F213)</f>
        <v/>
      </c>
      <c r="J213" s="22"/>
      <c r="K213" s="22"/>
      <c r="L213" s="22"/>
      <c r="M213" s="22"/>
      <c r="N213" s="22"/>
      <c r="O213" s="22"/>
      <c r="P213" s="23"/>
    </row>
    <row r="214" customFormat="false" ht="15" hidden="false" customHeight="false" outlineLevel="0" collapsed="false">
      <c r="A214" s="18"/>
      <c r="B214" s="19"/>
      <c r="C214" s="19"/>
      <c r="D214" s="19"/>
      <c r="E214" s="19"/>
      <c r="F214" s="20"/>
      <c r="G214" s="21"/>
      <c r="H214" s="14" t="str">
        <f aca="false">IF(OR($A214="",$D214="",$E214="",$F214=""),"",IFERROR($A214&amp;" / "&amp;IF(AND($F214=1,$D214=$E214),INDEX(Listas!$I$5:$I$25,MATCH($E214,Listas!$H$5:$H$25,0)),INDEX(Listas!$I$5:$I$25,MATCH($E214,Listas!$H$5:$H$25,0))&amp;" X "&amp;TEXT($F214,"0.####")&amp;" "&amp;INDEX(Listas!$I$5:$I$25,MATCH($D214,Listas!$H$5:$H$25,0))),"⚠ revisar la unidad"))</f>
        <v/>
      </c>
      <c r="I214" s="15" t="str">
        <f aca="false">IF(OR($F214="",$G214="",$F214=0),"",$G214/$F214)</f>
        <v/>
      </c>
      <c r="J214" s="22"/>
      <c r="K214" s="22"/>
      <c r="L214" s="22"/>
      <c r="M214" s="22"/>
      <c r="N214" s="22"/>
      <c r="O214" s="22"/>
      <c r="P214" s="23"/>
    </row>
    <row r="215" customFormat="false" ht="15" hidden="false" customHeight="false" outlineLevel="0" collapsed="false">
      <c r="A215" s="18"/>
      <c r="B215" s="19"/>
      <c r="C215" s="19"/>
      <c r="D215" s="19"/>
      <c r="E215" s="19"/>
      <c r="F215" s="20"/>
      <c r="G215" s="21"/>
      <c r="H215" s="14" t="str">
        <f aca="false">IF(OR($A215="",$D215="",$E215="",$F215=""),"",IFERROR($A215&amp;" / "&amp;IF(AND($F215=1,$D215=$E215),INDEX(Listas!$I$5:$I$25,MATCH($E215,Listas!$H$5:$H$25,0)),INDEX(Listas!$I$5:$I$25,MATCH($E215,Listas!$H$5:$H$25,0))&amp;" X "&amp;TEXT($F215,"0.####")&amp;" "&amp;INDEX(Listas!$I$5:$I$25,MATCH($D215,Listas!$H$5:$H$25,0))),"⚠ revisar la unidad"))</f>
        <v/>
      </c>
      <c r="I215" s="15" t="str">
        <f aca="false">IF(OR($F215="",$G215="",$F215=0),"",$G215/$F215)</f>
        <v/>
      </c>
      <c r="J215" s="22"/>
      <c r="K215" s="22"/>
      <c r="L215" s="22"/>
      <c r="M215" s="22"/>
      <c r="N215" s="22"/>
      <c r="O215" s="22"/>
      <c r="P215" s="23"/>
    </row>
    <row r="216" customFormat="false" ht="15" hidden="false" customHeight="false" outlineLevel="0" collapsed="false">
      <c r="A216" s="18"/>
      <c r="B216" s="19"/>
      <c r="C216" s="19"/>
      <c r="D216" s="19"/>
      <c r="E216" s="19"/>
      <c r="F216" s="20"/>
      <c r="G216" s="21"/>
      <c r="H216" s="14" t="str">
        <f aca="false">IF(OR($A216="",$D216="",$E216="",$F216=""),"",IFERROR($A216&amp;" / "&amp;IF(AND($F216=1,$D216=$E216),INDEX(Listas!$I$5:$I$25,MATCH($E216,Listas!$H$5:$H$25,0)),INDEX(Listas!$I$5:$I$25,MATCH($E216,Listas!$H$5:$H$25,0))&amp;" X "&amp;TEXT($F216,"0.####")&amp;" "&amp;INDEX(Listas!$I$5:$I$25,MATCH($D216,Listas!$H$5:$H$25,0))),"⚠ revisar la unidad"))</f>
        <v/>
      </c>
      <c r="I216" s="15" t="str">
        <f aca="false">IF(OR($F216="",$G216="",$F216=0),"",$G216/$F216)</f>
        <v/>
      </c>
      <c r="J216" s="22"/>
      <c r="K216" s="22"/>
      <c r="L216" s="22"/>
      <c r="M216" s="22"/>
      <c r="N216" s="22"/>
      <c r="O216" s="22"/>
      <c r="P216" s="23"/>
    </row>
    <row r="217" customFormat="false" ht="15" hidden="false" customHeight="false" outlineLevel="0" collapsed="false">
      <c r="A217" s="18"/>
      <c r="B217" s="19"/>
      <c r="C217" s="19"/>
      <c r="D217" s="19"/>
      <c r="E217" s="19"/>
      <c r="F217" s="20"/>
      <c r="G217" s="21"/>
      <c r="H217" s="14" t="str">
        <f aca="false">IF(OR($A217="",$D217="",$E217="",$F217=""),"",IFERROR($A217&amp;" / "&amp;IF(AND($F217=1,$D217=$E217),INDEX(Listas!$I$5:$I$25,MATCH($E217,Listas!$H$5:$H$25,0)),INDEX(Listas!$I$5:$I$25,MATCH($E217,Listas!$H$5:$H$25,0))&amp;" X "&amp;TEXT($F217,"0.####")&amp;" "&amp;INDEX(Listas!$I$5:$I$25,MATCH($D217,Listas!$H$5:$H$25,0))),"⚠ revisar la unidad"))</f>
        <v/>
      </c>
      <c r="I217" s="15" t="str">
        <f aca="false">IF(OR($F217="",$G217="",$F217=0),"",$G217/$F217)</f>
        <v/>
      </c>
      <c r="J217" s="22"/>
      <c r="K217" s="22"/>
      <c r="L217" s="22"/>
      <c r="M217" s="22"/>
      <c r="N217" s="22"/>
      <c r="O217" s="22"/>
      <c r="P217" s="23"/>
    </row>
    <row r="218" customFormat="false" ht="15" hidden="false" customHeight="false" outlineLevel="0" collapsed="false">
      <c r="A218" s="18"/>
      <c r="B218" s="19"/>
      <c r="C218" s="19"/>
      <c r="D218" s="19"/>
      <c r="E218" s="19"/>
      <c r="F218" s="20"/>
      <c r="G218" s="21"/>
      <c r="H218" s="14" t="str">
        <f aca="false">IF(OR($A218="",$D218="",$E218="",$F218=""),"",IFERROR($A218&amp;" / "&amp;IF(AND($F218=1,$D218=$E218),INDEX(Listas!$I$5:$I$25,MATCH($E218,Listas!$H$5:$H$25,0)),INDEX(Listas!$I$5:$I$25,MATCH($E218,Listas!$H$5:$H$25,0))&amp;" X "&amp;TEXT($F218,"0.####")&amp;" "&amp;INDEX(Listas!$I$5:$I$25,MATCH($D218,Listas!$H$5:$H$25,0))),"⚠ revisar la unidad"))</f>
        <v/>
      </c>
      <c r="I218" s="15" t="str">
        <f aca="false">IF(OR($F218="",$G218="",$F218=0),"",$G218/$F218)</f>
        <v/>
      </c>
      <c r="J218" s="22"/>
      <c r="K218" s="22"/>
      <c r="L218" s="22"/>
      <c r="M218" s="22"/>
      <c r="N218" s="22"/>
      <c r="O218" s="22"/>
      <c r="P218" s="23"/>
    </row>
    <row r="219" customFormat="false" ht="15" hidden="false" customHeight="false" outlineLevel="0" collapsed="false">
      <c r="A219" s="18"/>
      <c r="B219" s="19"/>
      <c r="C219" s="19"/>
      <c r="D219" s="19"/>
      <c r="E219" s="19"/>
      <c r="F219" s="20"/>
      <c r="G219" s="21"/>
      <c r="H219" s="14" t="str">
        <f aca="false">IF(OR($A219="",$D219="",$E219="",$F219=""),"",IFERROR($A219&amp;" / "&amp;IF(AND($F219=1,$D219=$E219),INDEX(Listas!$I$5:$I$25,MATCH($E219,Listas!$H$5:$H$25,0)),INDEX(Listas!$I$5:$I$25,MATCH($E219,Listas!$H$5:$H$25,0))&amp;" X "&amp;TEXT($F219,"0.####")&amp;" "&amp;INDEX(Listas!$I$5:$I$25,MATCH($D219,Listas!$H$5:$H$25,0))),"⚠ revisar la unidad"))</f>
        <v/>
      </c>
      <c r="I219" s="15" t="str">
        <f aca="false">IF(OR($F219="",$G219="",$F219=0),"",$G219/$F219)</f>
        <v/>
      </c>
      <c r="J219" s="22"/>
      <c r="K219" s="22"/>
      <c r="L219" s="22"/>
      <c r="M219" s="22"/>
      <c r="N219" s="22"/>
      <c r="O219" s="22"/>
      <c r="P219" s="23"/>
    </row>
    <row r="220" customFormat="false" ht="15" hidden="false" customHeight="false" outlineLevel="0" collapsed="false">
      <c r="A220" s="18"/>
      <c r="B220" s="19"/>
      <c r="C220" s="19"/>
      <c r="D220" s="19"/>
      <c r="E220" s="19"/>
      <c r="F220" s="20"/>
      <c r="G220" s="21"/>
      <c r="H220" s="14" t="str">
        <f aca="false">IF(OR($A220="",$D220="",$E220="",$F220=""),"",IFERROR($A220&amp;" / "&amp;IF(AND($F220=1,$D220=$E220),INDEX(Listas!$I$5:$I$25,MATCH($E220,Listas!$H$5:$H$25,0)),INDEX(Listas!$I$5:$I$25,MATCH($E220,Listas!$H$5:$H$25,0))&amp;" X "&amp;TEXT($F220,"0.####")&amp;" "&amp;INDEX(Listas!$I$5:$I$25,MATCH($D220,Listas!$H$5:$H$25,0))),"⚠ revisar la unidad"))</f>
        <v/>
      </c>
      <c r="I220" s="15" t="str">
        <f aca="false">IF(OR($F220="",$G220="",$F220=0),"",$G220/$F220)</f>
        <v/>
      </c>
      <c r="J220" s="22"/>
      <c r="K220" s="22"/>
      <c r="L220" s="22"/>
      <c r="M220" s="22"/>
      <c r="N220" s="22"/>
      <c r="O220" s="22"/>
      <c r="P220" s="23"/>
    </row>
    <row r="221" customFormat="false" ht="15" hidden="false" customHeight="false" outlineLevel="0" collapsed="false">
      <c r="A221" s="18"/>
      <c r="B221" s="19"/>
      <c r="C221" s="19"/>
      <c r="D221" s="19"/>
      <c r="E221" s="19"/>
      <c r="F221" s="20"/>
      <c r="G221" s="21"/>
      <c r="H221" s="14" t="str">
        <f aca="false">IF(OR($A221="",$D221="",$E221="",$F221=""),"",IFERROR($A221&amp;" / "&amp;IF(AND($F221=1,$D221=$E221),INDEX(Listas!$I$5:$I$25,MATCH($E221,Listas!$H$5:$H$25,0)),INDEX(Listas!$I$5:$I$25,MATCH($E221,Listas!$H$5:$H$25,0))&amp;" X "&amp;TEXT($F221,"0.####")&amp;" "&amp;INDEX(Listas!$I$5:$I$25,MATCH($D221,Listas!$H$5:$H$25,0))),"⚠ revisar la unidad"))</f>
        <v/>
      </c>
      <c r="I221" s="15" t="str">
        <f aca="false">IF(OR($F221="",$G221="",$F221=0),"",$G221/$F221)</f>
        <v/>
      </c>
      <c r="J221" s="22"/>
      <c r="K221" s="22"/>
      <c r="L221" s="22"/>
      <c r="M221" s="22"/>
      <c r="N221" s="22"/>
      <c r="O221" s="22"/>
      <c r="P221" s="23"/>
    </row>
    <row r="222" customFormat="false" ht="15" hidden="false" customHeight="false" outlineLevel="0" collapsed="false">
      <c r="A222" s="18"/>
      <c r="B222" s="19"/>
      <c r="C222" s="19"/>
      <c r="D222" s="19"/>
      <c r="E222" s="19"/>
      <c r="F222" s="20"/>
      <c r="G222" s="21"/>
      <c r="H222" s="14" t="str">
        <f aca="false">IF(OR($A222="",$D222="",$E222="",$F222=""),"",IFERROR($A222&amp;" / "&amp;IF(AND($F222=1,$D222=$E222),INDEX(Listas!$I$5:$I$25,MATCH($E222,Listas!$H$5:$H$25,0)),INDEX(Listas!$I$5:$I$25,MATCH($E222,Listas!$H$5:$H$25,0))&amp;" X "&amp;TEXT($F222,"0.####")&amp;" "&amp;INDEX(Listas!$I$5:$I$25,MATCH($D222,Listas!$H$5:$H$25,0))),"⚠ revisar la unidad"))</f>
        <v/>
      </c>
      <c r="I222" s="15" t="str">
        <f aca="false">IF(OR($F222="",$G222="",$F222=0),"",$G222/$F222)</f>
        <v/>
      </c>
      <c r="J222" s="22"/>
      <c r="K222" s="22"/>
      <c r="L222" s="22"/>
      <c r="M222" s="22"/>
      <c r="N222" s="22"/>
      <c r="O222" s="22"/>
      <c r="P222" s="23"/>
    </row>
    <row r="223" customFormat="false" ht="15" hidden="false" customHeight="false" outlineLevel="0" collapsed="false">
      <c r="A223" s="18"/>
      <c r="B223" s="19"/>
      <c r="C223" s="19"/>
      <c r="D223" s="19"/>
      <c r="E223" s="19"/>
      <c r="F223" s="20"/>
      <c r="G223" s="21"/>
      <c r="H223" s="14" t="str">
        <f aca="false">IF(OR($A223="",$D223="",$E223="",$F223=""),"",IFERROR($A223&amp;" / "&amp;IF(AND($F223=1,$D223=$E223),INDEX(Listas!$I$5:$I$25,MATCH($E223,Listas!$H$5:$H$25,0)),INDEX(Listas!$I$5:$I$25,MATCH($E223,Listas!$H$5:$H$25,0))&amp;" X "&amp;TEXT($F223,"0.####")&amp;" "&amp;INDEX(Listas!$I$5:$I$25,MATCH($D223,Listas!$H$5:$H$25,0))),"⚠ revisar la unidad"))</f>
        <v/>
      </c>
      <c r="I223" s="15" t="str">
        <f aca="false">IF(OR($F223="",$G223="",$F223=0),"",$G223/$F223)</f>
        <v/>
      </c>
      <c r="J223" s="22"/>
      <c r="K223" s="22"/>
      <c r="L223" s="22"/>
      <c r="M223" s="22"/>
      <c r="N223" s="22"/>
      <c r="O223" s="22"/>
      <c r="P223" s="23"/>
    </row>
    <row r="224" customFormat="false" ht="15" hidden="false" customHeight="false" outlineLevel="0" collapsed="false">
      <c r="A224" s="18"/>
      <c r="B224" s="19"/>
      <c r="C224" s="19"/>
      <c r="D224" s="19"/>
      <c r="E224" s="19"/>
      <c r="F224" s="20"/>
      <c r="G224" s="21"/>
      <c r="H224" s="14" t="str">
        <f aca="false">IF(OR($A224="",$D224="",$E224="",$F224=""),"",IFERROR($A224&amp;" / "&amp;IF(AND($F224=1,$D224=$E224),INDEX(Listas!$I$5:$I$25,MATCH($E224,Listas!$H$5:$H$25,0)),INDEX(Listas!$I$5:$I$25,MATCH($E224,Listas!$H$5:$H$25,0))&amp;" X "&amp;TEXT($F224,"0.####")&amp;" "&amp;INDEX(Listas!$I$5:$I$25,MATCH($D224,Listas!$H$5:$H$25,0))),"⚠ revisar la unidad"))</f>
        <v/>
      </c>
      <c r="I224" s="15" t="str">
        <f aca="false">IF(OR($F224="",$G224="",$F224=0),"",$G224/$F224)</f>
        <v/>
      </c>
      <c r="J224" s="22"/>
      <c r="K224" s="22"/>
      <c r="L224" s="22"/>
      <c r="M224" s="22"/>
      <c r="N224" s="22"/>
      <c r="O224" s="22"/>
      <c r="P224" s="23"/>
    </row>
    <row r="225" customFormat="false" ht="15" hidden="false" customHeight="false" outlineLevel="0" collapsed="false">
      <c r="A225" s="18"/>
      <c r="B225" s="19"/>
      <c r="C225" s="19"/>
      <c r="D225" s="19"/>
      <c r="E225" s="19"/>
      <c r="F225" s="20"/>
      <c r="G225" s="21"/>
      <c r="H225" s="14" t="str">
        <f aca="false">IF(OR($A225="",$D225="",$E225="",$F225=""),"",IFERROR($A225&amp;" / "&amp;IF(AND($F225=1,$D225=$E225),INDEX(Listas!$I$5:$I$25,MATCH($E225,Listas!$H$5:$H$25,0)),INDEX(Listas!$I$5:$I$25,MATCH($E225,Listas!$H$5:$H$25,0))&amp;" X "&amp;TEXT($F225,"0.####")&amp;" "&amp;INDEX(Listas!$I$5:$I$25,MATCH($D225,Listas!$H$5:$H$25,0))),"⚠ revisar la unidad"))</f>
        <v/>
      </c>
      <c r="I225" s="15" t="str">
        <f aca="false">IF(OR($F225="",$G225="",$F225=0),"",$G225/$F225)</f>
        <v/>
      </c>
      <c r="J225" s="22"/>
      <c r="K225" s="22"/>
      <c r="L225" s="22"/>
      <c r="M225" s="22"/>
      <c r="N225" s="22"/>
      <c r="O225" s="22"/>
      <c r="P225" s="23"/>
    </row>
    <row r="226" customFormat="false" ht="15" hidden="false" customHeight="false" outlineLevel="0" collapsed="false">
      <c r="A226" s="18"/>
      <c r="B226" s="19"/>
      <c r="C226" s="19"/>
      <c r="D226" s="19"/>
      <c r="E226" s="19"/>
      <c r="F226" s="20"/>
      <c r="G226" s="21"/>
      <c r="H226" s="14" t="str">
        <f aca="false">IF(OR($A226="",$D226="",$E226="",$F226=""),"",IFERROR($A226&amp;" / "&amp;IF(AND($F226=1,$D226=$E226),INDEX(Listas!$I$5:$I$25,MATCH($E226,Listas!$H$5:$H$25,0)),INDEX(Listas!$I$5:$I$25,MATCH($E226,Listas!$H$5:$H$25,0))&amp;" X "&amp;TEXT($F226,"0.####")&amp;" "&amp;INDEX(Listas!$I$5:$I$25,MATCH($D226,Listas!$H$5:$H$25,0))),"⚠ revisar la unidad"))</f>
        <v/>
      </c>
      <c r="I226" s="15" t="str">
        <f aca="false">IF(OR($F226="",$G226="",$F226=0),"",$G226/$F226)</f>
        <v/>
      </c>
      <c r="J226" s="22"/>
      <c r="K226" s="22"/>
      <c r="L226" s="22"/>
      <c r="M226" s="22"/>
      <c r="N226" s="22"/>
      <c r="O226" s="22"/>
      <c r="P226" s="23"/>
    </row>
    <row r="227" customFormat="false" ht="15" hidden="false" customHeight="false" outlineLevel="0" collapsed="false">
      <c r="A227" s="18"/>
      <c r="B227" s="19"/>
      <c r="C227" s="19"/>
      <c r="D227" s="19"/>
      <c r="E227" s="19"/>
      <c r="F227" s="20"/>
      <c r="G227" s="21"/>
      <c r="H227" s="14" t="str">
        <f aca="false">IF(OR($A227="",$D227="",$E227="",$F227=""),"",IFERROR($A227&amp;" / "&amp;IF(AND($F227=1,$D227=$E227),INDEX(Listas!$I$5:$I$25,MATCH($E227,Listas!$H$5:$H$25,0)),INDEX(Listas!$I$5:$I$25,MATCH($E227,Listas!$H$5:$H$25,0))&amp;" X "&amp;TEXT($F227,"0.####")&amp;" "&amp;INDEX(Listas!$I$5:$I$25,MATCH($D227,Listas!$H$5:$H$25,0))),"⚠ revisar la unidad"))</f>
        <v/>
      </c>
      <c r="I227" s="15" t="str">
        <f aca="false">IF(OR($F227="",$G227="",$F227=0),"",$G227/$F227)</f>
        <v/>
      </c>
      <c r="J227" s="22"/>
      <c r="K227" s="22"/>
      <c r="L227" s="22"/>
      <c r="M227" s="22"/>
      <c r="N227" s="22"/>
      <c r="O227" s="22"/>
      <c r="P227" s="23"/>
    </row>
    <row r="228" customFormat="false" ht="15" hidden="false" customHeight="false" outlineLevel="0" collapsed="false">
      <c r="A228" s="18"/>
      <c r="B228" s="19"/>
      <c r="C228" s="19"/>
      <c r="D228" s="19"/>
      <c r="E228" s="19"/>
      <c r="F228" s="20"/>
      <c r="G228" s="21"/>
      <c r="H228" s="14" t="str">
        <f aca="false">IF(OR($A228="",$D228="",$E228="",$F228=""),"",IFERROR($A228&amp;" / "&amp;IF(AND($F228=1,$D228=$E228),INDEX(Listas!$I$5:$I$25,MATCH($E228,Listas!$H$5:$H$25,0)),INDEX(Listas!$I$5:$I$25,MATCH($E228,Listas!$H$5:$H$25,0))&amp;" X "&amp;TEXT($F228,"0.####")&amp;" "&amp;INDEX(Listas!$I$5:$I$25,MATCH($D228,Listas!$H$5:$H$25,0))),"⚠ revisar la unidad"))</f>
        <v/>
      </c>
      <c r="I228" s="15" t="str">
        <f aca="false">IF(OR($F228="",$G228="",$F228=0),"",$G228/$F228)</f>
        <v/>
      </c>
      <c r="J228" s="22"/>
      <c r="K228" s="22"/>
      <c r="L228" s="22"/>
      <c r="M228" s="22"/>
      <c r="N228" s="22"/>
      <c r="O228" s="22"/>
      <c r="P228" s="23"/>
    </row>
    <row r="229" customFormat="false" ht="15" hidden="false" customHeight="false" outlineLevel="0" collapsed="false">
      <c r="A229" s="18"/>
      <c r="B229" s="19"/>
      <c r="C229" s="19"/>
      <c r="D229" s="19"/>
      <c r="E229" s="19"/>
      <c r="F229" s="20"/>
      <c r="G229" s="21"/>
      <c r="H229" s="14" t="str">
        <f aca="false">IF(OR($A229="",$D229="",$E229="",$F229=""),"",IFERROR($A229&amp;" / "&amp;IF(AND($F229=1,$D229=$E229),INDEX(Listas!$I$5:$I$25,MATCH($E229,Listas!$H$5:$H$25,0)),INDEX(Listas!$I$5:$I$25,MATCH($E229,Listas!$H$5:$H$25,0))&amp;" X "&amp;TEXT($F229,"0.####")&amp;" "&amp;INDEX(Listas!$I$5:$I$25,MATCH($D229,Listas!$H$5:$H$25,0))),"⚠ revisar la unidad"))</f>
        <v/>
      </c>
      <c r="I229" s="15" t="str">
        <f aca="false">IF(OR($F229="",$G229="",$F229=0),"",$G229/$F229)</f>
        <v/>
      </c>
      <c r="J229" s="22"/>
      <c r="K229" s="22"/>
      <c r="L229" s="22"/>
      <c r="M229" s="22"/>
      <c r="N229" s="22"/>
      <c r="O229" s="22"/>
      <c r="P229" s="23"/>
    </row>
    <row r="230" customFormat="false" ht="15" hidden="false" customHeight="false" outlineLevel="0" collapsed="false">
      <c r="A230" s="18"/>
      <c r="B230" s="19"/>
      <c r="C230" s="19"/>
      <c r="D230" s="19"/>
      <c r="E230" s="19"/>
      <c r="F230" s="20"/>
      <c r="G230" s="21"/>
      <c r="H230" s="14" t="str">
        <f aca="false">IF(OR($A230="",$D230="",$E230="",$F230=""),"",IFERROR($A230&amp;" / "&amp;IF(AND($F230=1,$D230=$E230),INDEX(Listas!$I$5:$I$25,MATCH($E230,Listas!$H$5:$H$25,0)),INDEX(Listas!$I$5:$I$25,MATCH($E230,Listas!$H$5:$H$25,0))&amp;" X "&amp;TEXT($F230,"0.####")&amp;" "&amp;INDEX(Listas!$I$5:$I$25,MATCH($D230,Listas!$H$5:$H$25,0))),"⚠ revisar la unidad"))</f>
        <v/>
      </c>
      <c r="I230" s="15" t="str">
        <f aca="false">IF(OR($F230="",$G230="",$F230=0),"",$G230/$F230)</f>
        <v/>
      </c>
      <c r="J230" s="22"/>
      <c r="K230" s="22"/>
      <c r="L230" s="22"/>
      <c r="M230" s="22"/>
      <c r="N230" s="22"/>
      <c r="O230" s="22"/>
      <c r="P230" s="23"/>
    </row>
    <row r="231" customFormat="false" ht="15" hidden="false" customHeight="false" outlineLevel="0" collapsed="false">
      <c r="A231" s="18"/>
      <c r="B231" s="19"/>
      <c r="C231" s="19"/>
      <c r="D231" s="19"/>
      <c r="E231" s="19"/>
      <c r="F231" s="20"/>
      <c r="G231" s="21"/>
      <c r="H231" s="14" t="str">
        <f aca="false">IF(OR($A231="",$D231="",$E231="",$F231=""),"",IFERROR($A231&amp;" / "&amp;IF(AND($F231=1,$D231=$E231),INDEX(Listas!$I$5:$I$25,MATCH($E231,Listas!$H$5:$H$25,0)),INDEX(Listas!$I$5:$I$25,MATCH($E231,Listas!$H$5:$H$25,0))&amp;" X "&amp;TEXT($F231,"0.####")&amp;" "&amp;INDEX(Listas!$I$5:$I$25,MATCH($D231,Listas!$H$5:$H$25,0))),"⚠ revisar la unidad"))</f>
        <v/>
      </c>
      <c r="I231" s="15" t="str">
        <f aca="false">IF(OR($F231="",$G231="",$F231=0),"",$G231/$F231)</f>
        <v/>
      </c>
      <c r="J231" s="22"/>
      <c r="K231" s="22"/>
      <c r="L231" s="22"/>
      <c r="M231" s="22"/>
      <c r="N231" s="22"/>
      <c r="O231" s="22"/>
      <c r="P231" s="23"/>
    </row>
    <row r="232" customFormat="false" ht="15" hidden="false" customHeight="false" outlineLevel="0" collapsed="false">
      <c r="A232" s="18"/>
      <c r="B232" s="19"/>
      <c r="C232" s="19"/>
      <c r="D232" s="19"/>
      <c r="E232" s="19"/>
      <c r="F232" s="20"/>
      <c r="G232" s="21"/>
      <c r="H232" s="14" t="str">
        <f aca="false">IF(OR($A232="",$D232="",$E232="",$F232=""),"",IFERROR($A232&amp;" / "&amp;IF(AND($F232=1,$D232=$E232),INDEX(Listas!$I$5:$I$25,MATCH($E232,Listas!$H$5:$H$25,0)),INDEX(Listas!$I$5:$I$25,MATCH($E232,Listas!$H$5:$H$25,0))&amp;" X "&amp;TEXT($F232,"0.####")&amp;" "&amp;INDEX(Listas!$I$5:$I$25,MATCH($D232,Listas!$H$5:$H$25,0))),"⚠ revisar la unidad"))</f>
        <v/>
      </c>
      <c r="I232" s="15" t="str">
        <f aca="false">IF(OR($F232="",$G232="",$F232=0),"",$G232/$F232)</f>
        <v/>
      </c>
      <c r="J232" s="22"/>
      <c r="K232" s="22"/>
      <c r="L232" s="22"/>
      <c r="M232" s="22"/>
      <c r="N232" s="22"/>
      <c r="O232" s="22"/>
      <c r="P232" s="23"/>
    </row>
    <row r="233" customFormat="false" ht="15" hidden="false" customHeight="false" outlineLevel="0" collapsed="false">
      <c r="A233" s="18"/>
      <c r="B233" s="19"/>
      <c r="C233" s="19"/>
      <c r="D233" s="19"/>
      <c r="E233" s="19"/>
      <c r="F233" s="20"/>
      <c r="G233" s="21"/>
      <c r="H233" s="14" t="str">
        <f aca="false">IF(OR($A233="",$D233="",$E233="",$F233=""),"",IFERROR($A233&amp;" / "&amp;IF(AND($F233=1,$D233=$E233),INDEX(Listas!$I$5:$I$25,MATCH($E233,Listas!$H$5:$H$25,0)),INDEX(Listas!$I$5:$I$25,MATCH($E233,Listas!$H$5:$H$25,0))&amp;" X "&amp;TEXT($F233,"0.####")&amp;" "&amp;INDEX(Listas!$I$5:$I$25,MATCH($D233,Listas!$H$5:$H$25,0))),"⚠ revisar la unidad"))</f>
        <v/>
      </c>
      <c r="I233" s="15" t="str">
        <f aca="false">IF(OR($F233="",$G233="",$F233=0),"",$G233/$F233)</f>
        <v/>
      </c>
      <c r="J233" s="22"/>
      <c r="K233" s="22"/>
      <c r="L233" s="22"/>
      <c r="M233" s="22"/>
      <c r="N233" s="22"/>
      <c r="O233" s="22"/>
      <c r="P233" s="23"/>
    </row>
    <row r="234" customFormat="false" ht="15" hidden="false" customHeight="false" outlineLevel="0" collapsed="false">
      <c r="A234" s="18"/>
      <c r="B234" s="19"/>
      <c r="C234" s="19"/>
      <c r="D234" s="19"/>
      <c r="E234" s="19"/>
      <c r="F234" s="20"/>
      <c r="G234" s="21"/>
      <c r="H234" s="14" t="str">
        <f aca="false">IF(OR($A234="",$D234="",$E234="",$F234=""),"",IFERROR($A234&amp;" / "&amp;IF(AND($F234=1,$D234=$E234),INDEX(Listas!$I$5:$I$25,MATCH($E234,Listas!$H$5:$H$25,0)),INDEX(Listas!$I$5:$I$25,MATCH($E234,Listas!$H$5:$H$25,0))&amp;" X "&amp;TEXT($F234,"0.####")&amp;" "&amp;INDEX(Listas!$I$5:$I$25,MATCH($D234,Listas!$H$5:$H$25,0))),"⚠ revisar la unidad"))</f>
        <v/>
      </c>
      <c r="I234" s="15" t="str">
        <f aca="false">IF(OR($F234="",$G234="",$F234=0),"",$G234/$F234)</f>
        <v/>
      </c>
      <c r="J234" s="22"/>
      <c r="K234" s="22"/>
      <c r="L234" s="22"/>
      <c r="M234" s="22"/>
      <c r="N234" s="22"/>
      <c r="O234" s="22"/>
      <c r="P234" s="23"/>
    </row>
    <row r="235" customFormat="false" ht="15" hidden="false" customHeight="false" outlineLevel="0" collapsed="false">
      <c r="A235" s="18"/>
      <c r="B235" s="19"/>
      <c r="C235" s="19"/>
      <c r="D235" s="19"/>
      <c r="E235" s="19"/>
      <c r="F235" s="20"/>
      <c r="G235" s="21"/>
      <c r="H235" s="14" t="str">
        <f aca="false">IF(OR($A235="",$D235="",$E235="",$F235=""),"",IFERROR($A235&amp;" / "&amp;IF(AND($F235=1,$D235=$E235),INDEX(Listas!$I$5:$I$25,MATCH($E235,Listas!$H$5:$H$25,0)),INDEX(Listas!$I$5:$I$25,MATCH($E235,Listas!$H$5:$H$25,0))&amp;" X "&amp;TEXT($F235,"0.####")&amp;" "&amp;INDEX(Listas!$I$5:$I$25,MATCH($D235,Listas!$H$5:$H$25,0))),"⚠ revisar la unidad"))</f>
        <v/>
      </c>
      <c r="I235" s="15" t="str">
        <f aca="false">IF(OR($F235="",$G235="",$F235=0),"",$G235/$F235)</f>
        <v/>
      </c>
      <c r="J235" s="22"/>
      <c r="K235" s="22"/>
      <c r="L235" s="22"/>
      <c r="M235" s="22"/>
      <c r="N235" s="22"/>
      <c r="O235" s="22"/>
      <c r="P235" s="23"/>
    </row>
    <row r="236" customFormat="false" ht="15" hidden="false" customHeight="false" outlineLevel="0" collapsed="false">
      <c r="A236" s="18"/>
      <c r="B236" s="19"/>
      <c r="C236" s="19"/>
      <c r="D236" s="19"/>
      <c r="E236" s="19"/>
      <c r="F236" s="20"/>
      <c r="G236" s="21"/>
      <c r="H236" s="14" t="str">
        <f aca="false">IF(OR($A236="",$D236="",$E236="",$F236=""),"",IFERROR($A236&amp;" / "&amp;IF(AND($F236=1,$D236=$E236),INDEX(Listas!$I$5:$I$25,MATCH($E236,Listas!$H$5:$H$25,0)),INDEX(Listas!$I$5:$I$25,MATCH($E236,Listas!$H$5:$H$25,0))&amp;" X "&amp;TEXT($F236,"0.####")&amp;" "&amp;INDEX(Listas!$I$5:$I$25,MATCH($D236,Listas!$H$5:$H$25,0))),"⚠ revisar la unidad"))</f>
        <v/>
      </c>
      <c r="I236" s="15" t="str">
        <f aca="false">IF(OR($F236="",$G236="",$F236=0),"",$G236/$F236)</f>
        <v/>
      </c>
      <c r="J236" s="22"/>
      <c r="K236" s="22"/>
      <c r="L236" s="22"/>
      <c r="M236" s="22"/>
      <c r="N236" s="22"/>
      <c r="O236" s="22"/>
      <c r="P236" s="23"/>
    </row>
    <row r="237" customFormat="false" ht="15" hidden="false" customHeight="false" outlineLevel="0" collapsed="false">
      <c r="A237" s="18"/>
      <c r="B237" s="19"/>
      <c r="C237" s="19"/>
      <c r="D237" s="19"/>
      <c r="E237" s="19"/>
      <c r="F237" s="20"/>
      <c r="G237" s="21"/>
      <c r="H237" s="14" t="str">
        <f aca="false">IF(OR($A237="",$D237="",$E237="",$F237=""),"",IFERROR($A237&amp;" / "&amp;IF(AND($F237=1,$D237=$E237),INDEX(Listas!$I$5:$I$25,MATCH($E237,Listas!$H$5:$H$25,0)),INDEX(Listas!$I$5:$I$25,MATCH($E237,Listas!$H$5:$H$25,0))&amp;" X "&amp;TEXT($F237,"0.####")&amp;" "&amp;INDEX(Listas!$I$5:$I$25,MATCH($D237,Listas!$H$5:$H$25,0))),"⚠ revisar la unidad"))</f>
        <v/>
      </c>
      <c r="I237" s="15" t="str">
        <f aca="false">IF(OR($F237="",$G237="",$F237=0),"",$G237/$F237)</f>
        <v/>
      </c>
      <c r="J237" s="22"/>
      <c r="K237" s="22"/>
      <c r="L237" s="22"/>
      <c r="M237" s="22"/>
      <c r="N237" s="22"/>
      <c r="O237" s="22"/>
      <c r="P237" s="23"/>
    </row>
    <row r="238" customFormat="false" ht="15" hidden="false" customHeight="false" outlineLevel="0" collapsed="false">
      <c r="A238" s="18"/>
      <c r="B238" s="19"/>
      <c r="C238" s="19"/>
      <c r="D238" s="19"/>
      <c r="E238" s="19"/>
      <c r="F238" s="20"/>
      <c r="G238" s="21"/>
      <c r="H238" s="14" t="str">
        <f aca="false">IF(OR($A238="",$D238="",$E238="",$F238=""),"",IFERROR($A238&amp;" / "&amp;IF(AND($F238=1,$D238=$E238),INDEX(Listas!$I$5:$I$25,MATCH($E238,Listas!$H$5:$H$25,0)),INDEX(Listas!$I$5:$I$25,MATCH($E238,Listas!$H$5:$H$25,0))&amp;" X "&amp;TEXT($F238,"0.####")&amp;" "&amp;INDEX(Listas!$I$5:$I$25,MATCH($D238,Listas!$H$5:$H$25,0))),"⚠ revisar la unidad"))</f>
        <v/>
      </c>
      <c r="I238" s="15" t="str">
        <f aca="false">IF(OR($F238="",$G238="",$F238=0),"",$G238/$F238)</f>
        <v/>
      </c>
      <c r="J238" s="22"/>
      <c r="K238" s="22"/>
      <c r="L238" s="22"/>
      <c r="M238" s="22"/>
      <c r="N238" s="22"/>
      <c r="O238" s="22"/>
      <c r="P238" s="23"/>
    </row>
    <row r="239" customFormat="false" ht="15" hidden="false" customHeight="false" outlineLevel="0" collapsed="false">
      <c r="A239" s="18"/>
      <c r="B239" s="19"/>
      <c r="C239" s="19"/>
      <c r="D239" s="19"/>
      <c r="E239" s="19"/>
      <c r="F239" s="20"/>
      <c r="G239" s="21"/>
      <c r="H239" s="14" t="str">
        <f aca="false">IF(OR($A239="",$D239="",$E239="",$F239=""),"",IFERROR($A239&amp;" / "&amp;IF(AND($F239=1,$D239=$E239),INDEX(Listas!$I$5:$I$25,MATCH($E239,Listas!$H$5:$H$25,0)),INDEX(Listas!$I$5:$I$25,MATCH($E239,Listas!$H$5:$H$25,0))&amp;" X "&amp;TEXT($F239,"0.####")&amp;" "&amp;INDEX(Listas!$I$5:$I$25,MATCH($D239,Listas!$H$5:$H$25,0))),"⚠ revisar la unidad"))</f>
        <v/>
      </c>
      <c r="I239" s="15" t="str">
        <f aca="false">IF(OR($F239="",$G239="",$F239=0),"",$G239/$F239)</f>
        <v/>
      </c>
      <c r="J239" s="22"/>
      <c r="K239" s="22"/>
      <c r="L239" s="22"/>
      <c r="M239" s="22"/>
      <c r="N239" s="22"/>
      <c r="O239" s="22"/>
      <c r="P239" s="23"/>
    </row>
    <row r="240" customFormat="false" ht="15" hidden="false" customHeight="false" outlineLevel="0" collapsed="false">
      <c r="A240" s="18"/>
      <c r="B240" s="19"/>
      <c r="C240" s="19"/>
      <c r="D240" s="19"/>
      <c r="E240" s="19"/>
      <c r="F240" s="20"/>
      <c r="G240" s="21"/>
      <c r="H240" s="14" t="str">
        <f aca="false">IF(OR($A240="",$D240="",$E240="",$F240=""),"",IFERROR($A240&amp;" / "&amp;IF(AND($F240=1,$D240=$E240),INDEX(Listas!$I$5:$I$25,MATCH($E240,Listas!$H$5:$H$25,0)),INDEX(Listas!$I$5:$I$25,MATCH($E240,Listas!$H$5:$H$25,0))&amp;" X "&amp;TEXT($F240,"0.####")&amp;" "&amp;INDEX(Listas!$I$5:$I$25,MATCH($D240,Listas!$H$5:$H$25,0))),"⚠ revisar la unidad"))</f>
        <v/>
      </c>
      <c r="I240" s="15" t="str">
        <f aca="false">IF(OR($F240="",$G240="",$F240=0),"",$G240/$F240)</f>
        <v/>
      </c>
      <c r="J240" s="22"/>
      <c r="K240" s="22"/>
      <c r="L240" s="22"/>
      <c r="M240" s="22"/>
      <c r="N240" s="22"/>
      <c r="O240" s="22"/>
      <c r="P240" s="23"/>
    </row>
    <row r="241" customFormat="false" ht="15" hidden="false" customHeight="false" outlineLevel="0" collapsed="false">
      <c r="A241" s="18"/>
      <c r="B241" s="19"/>
      <c r="C241" s="19"/>
      <c r="D241" s="19"/>
      <c r="E241" s="19"/>
      <c r="F241" s="20"/>
      <c r="G241" s="21"/>
      <c r="H241" s="14" t="str">
        <f aca="false">IF(OR($A241="",$D241="",$E241="",$F241=""),"",IFERROR($A241&amp;" / "&amp;IF(AND($F241=1,$D241=$E241),INDEX(Listas!$I$5:$I$25,MATCH($E241,Listas!$H$5:$H$25,0)),INDEX(Listas!$I$5:$I$25,MATCH($E241,Listas!$H$5:$H$25,0))&amp;" X "&amp;TEXT($F241,"0.####")&amp;" "&amp;INDEX(Listas!$I$5:$I$25,MATCH($D241,Listas!$H$5:$H$25,0))),"⚠ revisar la unidad"))</f>
        <v/>
      </c>
      <c r="I241" s="15" t="str">
        <f aca="false">IF(OR($F241="",$G241="",$F241=0),"",$G241/$F241)</f>
        <v/>
      </c>
      <c r="J241" s="22"/>
      <c r="K241" s="22"/>
      <c r="L241" s="22"/>
      <c r="M241" s="22"/>
      <c r="N241" s="22"/>
      <c r="O241" s="22"/>
      <c r="P241" s="23"/>
    </row>
    <row r="242" customFormat="false" ht="15" hidden="false" customHeight="false" outlineLevel="0" collapsed="false">
      <c r="A242" s="18"/>
      <c r="B242" s="19"/>
      <c r="C242" s="19"/>
      <c r="D242" s="19"/>
      <c r="E242" s="19"/>
      <c r="F242" s="20"/>
      <c r="G242" s="21"/>
      <c r="H242" s="14" t="str">
        <f aca="false">IF(OR($A242="",$D242="",$E242="",$F242=""),"",IFERROR($A242&amp;" / "&amp;IF(AND($F242=1,$D242=$E242),INDEX(Listas!$I$5:$I$25,MATCH($E242,Listas!$H$5:$H$25,0)),INDEX(Listas!$I$5:$I$25,MATCH($E242,Listas!$H$5:$H$25,0))&amp;" X "&amp;TEXT($F242,"0.####")&amp;" "&amp;INDEX(Listas!$I$5:$I$25,MATCH($D242,Listas!$H$5:$H$25,0))),"⚠ revisar la unidad"))</f>
        <v/>
      </c>
      <c r="I242" s="15" t="str">
        <f aca="false">IF(OR($F242="",$G242="",$F242=0),"",$G242/$F242)</f>
        <v/>
      </c>
      <c r="J242" s="22"/>
      <c r="K242" s="22"/>
      <c r="L242" s="22"/>
      <c r="M242" s="22"/>
      <c r="N242" s="22"/>
      <c r="O242" s="22"/>
      <c r="P242" s="23"/>
    </row>
    <row r="243" customFormat="false" ht="15" hidden="false" customHeight="false" outlineLevel="0" collapsed="false">
      <c r="A243" s="18"/>
      <c r="B243" s="19"/>
      <c r="C243" s="19"/>
      <c r="D243" s="19"/>
      <c r="E243" s="19"/>
      <c r="F243" s="20"/>
      <c r="G243" s="21"/>
      <c r="H243" s="14" t="str">
        <f aca="false">IF(OR($A243="",$D243="",$E243="",$F243=""),"",IFERROR($A243&amp;" / "&amp;IF(AND($F243=1,$D243=$E243),INDEX(Listas!$I$5:$I$25,MATCH($E243,Listas!$H$5:$H$25,0)),INDEX(Listas!$I$5:$I$25,MATCH($E243,Listas!$H$5:$H$25,0))&amp;" X "&amp;TEXT($F243,"0.####")&amp;" "&amp;INDEX(Listas!$I$5:$I$25,MATCH($D243,Listas!$H$5:$H$25,0))),"⚠ revisar la unidad"))</f>
        <v/>
      </c>
      <c r="I243" s="15" t="str">
        <f aca="false">IF(OR($F243="",$G243="",$F243=0),"",$G243/$F243)</f>
        <v/>
      </c>
      <c r="J243" s="22"/>
      <c r="K243" s="22"/>
      <c r="L243" s="22"/>
      <c r="M243" s="22"/>
      <c r="N243" s="22"/>
      <c r="O243" s="22"/>
      <c r="P243" s="23"/>
    </row>
    <row r="244" customFormat="false" ht="15" hidden="false" customHeight="false" outlineLevel="0" collapsed="false">
      <c r="A244" s="18"/>
      <c r="B244" s="19"/>
      <c r="C244" s="19"/>
      <c r="D244" s="19"/>
      <c r="E244" s="19"/>
      <c r="F244" s="20"/>
      <c r="G244" s="21"/>
      <c r="H244" s="14" t="str">
        <f aca="false">IF(OR($A244="",$D244="",$E244="",$F244=""),"",IFERROR($A244&amp;" / "&amp;IF(AND($F244=1,$D244=$E244),INDEX(Listas!$I$5:$I$25,MATCH($E244,Listas!$H$5:$H$25,0)),INDEX(Listas!$I$5:$I$25,MATCH($E244,Listas!$H$5:$H$25,0))&amp;" X "&amp;TEXT($F244,"0.####")&amp;" "&amp;INDEX(Listas!$I$5:$I$25,MATCH($D244,Listas!$H$5:$H$25,0))),"⚠ revisar la unidad"))</f>
        <v/>
      </c>
      <c r="I244" s="15" t="str">
        <f aca="false">IF(OR($F244="",$G244="",$F244=0),"",$G244/$F244)</f>
        <v/>
      </c>
      <c r="J244" s="22"/>
      <c r="K244" s="22"/>
      <c r="L244" s="22"/>
      <c r="M244" s="22"/>
      <c r="N244" s="22"/>
      <c r="O244" s="22"/>
      <c r="P244" s="23"/>
    </row>
    <row r="245" customFormat="false" ht="15" hidden="false" customHeight="false" outlineLevel="0" collapsed="false">
      <c r="A245" s="18"/>
      <c r="B245" s="19"/>
      <c r="C245" s="19"/>
      <c r="D245" s="19"/>
      <c r="E245" s="19"/>
      <c r="F245" s="20"/>
      <c r="G245" s="21"/>
      <c r="H245" s="14" t="str">
        <f aca="false">IF(OR($A245="",$D245="",$E245="",$F245=""),"",IFERROR($A245&amp;" / "&amp;IF(AND($F245=1,$D245=$E245),INDEX(Listas!$I$5:$I$25,MATCH($E245,Listas!$H$5:$H$25,0)),INDEX(Listas!$I$5:$I$25,MATCH($E245,Listas!$H$5:$H$25,0))&amp;" X "&amp;TEXT($F245,"0.####")&amp;" "&amp;INDEX(Listas!$I$5:$I$25,MATCH($D245,Listas!$H$5:$H$25,0))),"⚠ revisar la unidad"))</f>
        <v/>
      </c>
      <c r="I245" s="15" t="str">
        <f aca="false">IF(OR($F245="",$G245="",$F245=0),"",$G245/$F245)</f>
        <v/>
      </c>
      <c r="J245" s="22"/>
      <c r="K245" s="22"/>
      <c r="L245" s="22"/>
      <c r="M245" s="22"/>
      <c r="N245" s="22"/>
      <c r="O245" s="22"/>
      <c r="P245" s="23"/>
    </row>
    <row r="246" customFormat="false" ht="15" hidden="false" customHeight="false" outlineLevel="0" collapsed="false">
      <c r="A246" s="18"/>
      <c r="B246" s="19"/>
      <c r="C246" s="19"/>
      <c r="D246" s="19"/>
      <c r="E246" s="19"/>
      <c r="F246" s="20"/>
      <c r="G246" s="21"/>
      <c r="H246" s="14" t="str">
        <f aca="false">IF(OR($A246="",$D246="",$E246="",$F246=""),"",IFERROR($A246&amp;" / "&amp;IF(AND($F246=1,$D246=$E246),INDEX(Listas!$I$5:$I$25,MATCH($E246,Listas!$H$5:$H$25,0)),INDEX(Listas!$I$5:$I$25,MATCH($E246,Listas!$H$5:$H$25,0))&amp;" X "&amp;TEXT($F246,"0.####")&amp;" "&amp;INDEX(Listas!$I$5:$I$25,MATCH($D246,Listas!$H$5:$H$25,0))),"⚠ revisar la unidad"))</f>
        <v/>
      </c>
      <c r="I246" s="15" t="str">
        <f aca="false">IF(OR($F246="",$G246="",$F246=0),"",$G246/$F246)</f>
        <v/>
      </c>
      <c r="J246" s="22"/>
      <c r="K246" s="22"/>
      <c r="L246" s="22"/>
      <c r="M246" s="22"/>
      <c r="N246" s="22"/>
      <c r="O246" s="22"/>
      <c r="P246" s="23"/>
    </row>
    <row r="247" customFormat="false" ht="15" hidden="false" customHeight="false" outlineLevel="0" collapsed="false">
      <c r="A247" s="18"/>
      <c r="B247" s="19"/>
      <c r="C247" s="19"/>
      <c r="D247" s="19"/>
      <c r="E247" s="19"/>
      <c r="F247" s="20"/>
      <c r="G247" s="21"/>
      <c r="H247" s="14" t="str">
        <f aca="false">IF(OR($A247="",$D247="",$E247="",$F247=""),"",IFERROR($A247&amp;" / "&amp;IF(AND($F247=1,$D247=$E247),INDEX(Listas!$I$5:$I$25,MATCH($E247,Listas!$H$5:$H$25,0)),INDEX(Listas!$I$5:$I$25,MATCH($E247,Listas!$H$5:$H$25,0))&amp;" X "&amp;TEXT($F247,"0.####")&amp;" "&amp;INDEX(Listas!$I$5:$I$25,MATCH($D247,Listas!$H$5:$H$25,0))),"⚠ revisar la unidad"))</f>
        <v/>
      </c>
      <c r="I247" s="15" t="str">
        <f aca="false">IF(OR($F247="",$G247="",$F247=0),"",$G247/$F247)</f>
        <v/>
      </c>
      <c r="J247" s="22"/>
      <c r="K247" s="22"/>
      <c r="L247" s="22"/>
      <c r="M247" s="22"/>
      <c r="N247" s="22"/>
      <c r="O247" s="22"/>
      <c r="P247" s="23"/>
    </row>
    <row r="248" customFormat="false" ht="15" hidden="false" customHeight="false" outlineLevel="0" collapsed="false">
      <c r="A248" s="18"/>
      <c r="B248" s="19"/>
      <c r="C248" s="19"/>
      <c r="D248" s="19"/>
      <c r="E248" s="19"/>
      <c r="F248" s="20"/>
      <c r="G248" s="21"/>
      <c r="H248" s="14" t="str">
        <f aca="false">IF(OR($A248="",$D248="",$E248="",$F248=""),"",IFERROR($A248&amp;" / "&amp;IF(AND($F248=1,$D248=$E248),INDEX(Listas!$I$5:$I$25,MATCH($E248,Listas!$H$5:$H$25,0)),INDEX(Listas!$I$5:$I$25,MATCH($E248,Listas!$H$5:$H$25,0))&amp;" X "&amp;TEXT($F248,"0.####")&amp;" "&amp;INDEX(Listas!$I$5:$I$25,MATCH($D248,Listas!$H$5:$H$25,0))),"⚠ revisar la unidad"))</f>
        <v/>
      </c>
      <c r="I248" s="15" t="str">
        <f aca="false">IF(OR($F248="",$G248="",$F248=0),"",$G248/$F248)</f>
        <v/>
      </c>
      <c r="J248" s="22"/>
      <c r="K248" s="22"/>
      <c r="L248" s="22"/>
      <c r="M248" s="22"/>
      <c r="N248" s="22"/>
      <c r="O248" s="22"/>
      <c r="P248" s="23"/>
    </row>
    <row r="249" customFormat="false" ht="15" hidden="false" customHeight="false" outlineLevel="0" collapsed="false">
      <c r="A249" s="18"/>
      <c r="B249" s="19"/>
      <c r="C249" s="19"/>
      <c r="D249" s="19"/>
      <c r="E249" s="19"/>
      <c r="F249" s="20"/>
      <c r="G249" s="21"/>
      <c r="H249" s="14" t="str">
        <f aca="false">IF(OR($A249="",$D249="",$E249="",$F249=""),"",IFERROR($A249&amp;" / "&amp;IF(AND($F249=1,$D249=$E249),INDEX(Listas!$I$5:$I$25,MATCH($E249,Listas!$H$5:$H$25,0)),INDEX(Listas!$I$5:$I$25,MATCH($E249,Listas!$H$5:$H$25,0))&amp;" X "&amp;TEXT($F249,"0.####")&amp;" "&amp;INDEX(Listas!$I$5:$I$25,MATCH($D249,Listas!$H$5:$H$25,0))),"⚠ revisar la unidad"))</f>
        <v/>
      </c>
      <c r="I249" s="15" t="str">
        <f aca="false">IF(OR($F249="",$G249="",$F249=0),"",$G249/$F249)</f>
        <v/>
      </c>
      <c r="J249" s="22"/>
      <c r="K249" s="22"/>
      <c r="L249" s="22"/>
      <c r="M249" s="22"/>
      <c r="N249" s="22"/>
      <c r="O249" s="22"/>
      <c r="P249" s="23"/>
    </row>
    <row r="250" customFormat="false" ht="15" hidden="false" customHeight="false" outlineLevel="0" collapsed="false">
      <c r="A250" s="18"/>
      <c r="B250" s="19"/>
      <c r="C250" s="19"/>
      <c r="D250" s="19"/>
      <c r="E250" s="19"/>
      <c r="F250" s="20"/>
      <c r="G250" s="21"/>
      <c r="H250" s="14" t="str">
        <f aca="false">IF(OR($A250="",$D250="",$E250="",$F250=""),"",IFERROR($A250&amp;" / "&amp;IF(AND($F250=1,$D250=$E250),INDEX(Listas!$I$5:$I$25,MATCH($E250,Listas!$H$5:$H$25,0)),INDEX(Listas!$I$5:$I$25,MATCH($E250,Listas!$H$5:$H$25,0))&amp;" X "&amp;TEXT($F250,"0.####")&amp;" "&amp;INDEX(Listas!$I$5:$I$25,MATCH($D250,Listas!$H$5:$H$25,0))),"⚠ revisar la unidad"))</f>
        <v/>
      </c>
      <c r="I250" s="15" t="str">
        <f aca="false">IF(OR($F250="",$G250="",$F250=0),"",$G250/$F250)</f>
        <v/>
      </c>
      <c r="J250" s="22"/>
      <c r="K250" s="22"/>
      <c r="L250" s="22"/>
      <c r="M250" s="22"/>
      <c r="N250" s="22"/>
      <c r="O250" s="22"/>
      <c r="P250" s="23"/>
    </row>
    <row r="251" customFormat="false" ht="15" hidden="false" customHeight="false" outlineLevel="0" collapsed="false">
      <c r="A251" s="18"/>
      <c r="B251" s="19"/>
      <c r="C251" s="19"/>
      <c r="D251" s="19"/>
      <c r="E251" s="19"/>
      <c r="F251" s="20"/>
      <c r="G251" s="21"/>
      <c r="H251" s="14" t="str">
        <f aca="false">IF(OR($A251="",$D251="",$E251="",$F251=""),"",IFERROR($A251&amp;" / "&amp;IF(AND($F251=1,$D251=$E251),INDEX(Listas!$I$5:$I$25,MATCH($E251,Listas!$H$5:$H$25,0)),INDEX(Listas!$I$5:$I$25,MATCH($E251,Listas!$H$5:$H$25,0))&amp;" X "&amp;TEXT($F251,"0.####")&amp;" "&amp;INDEX(Listas!$I$5:$I$25,MATCH($D251,Listas!$H$5:$H$25,0))),"⚠ revisar la unidad"))</f>
        <v/>
      </c>
      <c r="I251" s="15" t="str">
        <f aca="false">IF(OR($F251="",$G251="",$F251=0),"",$G251/$F251)</f>
        <v/>
      </c>
      <c r="J251" s="22"/>
      <c r="K251" s="22"/>
      <c r="L251" s="22"/>
      <c r="M251" s="22"/>
      <c r="N251" s="22"/>
      <c r="O251" s="22"/>
      <c r="P251" s="23"/>
    </row>
    <row r="252" customFormat="false" ht="15" hidden="false" customHeight="false" outlineLevel="0" collapsed="false">
      <c r="A252" s="18"/>
      <c r="B252" s="19"/>
      <c r="C252" s="19"/>
      <c r="D252" s="19"/>
      <c r="E252" s="19"/>
      <c r="F252" s="20"/>
      <c r="G252" s="21"/>
      <c r="H252" s="14" t="str">
        <f aca="false">IF(OR($A252="",$D252="",$E252="",$F252=""),"",IFERROR($A252&amp;" / "&amp;IF(AND($F252=1,$D252=$E252),INDEX(Listas!$I$5:$I$25,MATCH($E252,Listas!$H$5:$H$25,0)),INDEX(Listas!$I$5:$I$25,MATCH($E252,Listas!$H$5:$H$25,0))&amp;" X "&amp;TEXT($F252,"0.####")&amp;" "&amp;INDEX(Listas!$I$5:$I$25,MATCH($D252,Listas!$H$5:$H$25,0))),"⚠ revisar la unidad"))</f>
        <v/>
      </c>
      <c r="I252" s="15" t="str">
        <f aca="false">IF(OR($F252="",$G252="",$F252=0),"",$G252/$F252)</f>
        <v/>
      </c>
      <c r="J252" s="22"/>
      <c r="K252" s="22"/>
      <c r="L252" s="22"/>
      <c r="M252" s="22"/>
      <c r="N252" s="22"/>
      <c r="O252" s="22"/>
      <c r="P252" s="23"/>
    </row>
    <row r="253" customFormat="false" ht="15" hidden="false" customHeight="false" outlineLevel="0" collapsed="false">
      <c r="A253" s="18"/>
      <c r="B253" s="19"/>
      <c r="C253" s="19"/>
      <c r="D253" s="19"/>
      <c r="E253" s="19"/>
      <c r="F253" s="20"/>
      <c r="G253" s="21"/>
      <c r="H253" s="14" t="str">
        <f aca="false">IF(OR($A253="",$D253="",$E253="",$F253=""),"",IFERROR($A253&amp;" / "&amp;IF(AND($F253=1,$D253=$E253),INDEX(Listas!$I$5:$I$25,MATCH($E253,Listas!$H$5:$H$25,0)),INDEX(Listas!$I$5:$I$25,MATCH($E253,Listas!$H$5:$H$25,0))&amp;" X "&amp;TEXT($F253,"0.####")&amp;" "&amp;INDEX(Listas!$I$5:$I$25,MATCH($D253,Listas!$H$5:$H$25,0))),"⚠ revisar la unidad"))</f>
        <v/>
      </c>
      <c r="I253" s="15" t="str">
        <f aca="false">IF(OR($F253="",$G253="",$F253=0),"",$G253/$F253)</f>
        <v/>
      </c>
      <c r="J253" s="22"/>
      <c r="K253" s="22"/>
      <c r="L253" s="22"/>
      <c r="M253" s="22"/>
      <c r="N253" s="22"/>
      <c r="O253" s="22"/>
      <c r="P253" s="23"/>
    </row>
    <row r="254" customFormat="false" ht="15" hidden="false" customHeight="false" outlineLevel="0" collapsed="false">
      <c r="A254" s="18"/>
      <c r="B254" s="19"/>
      <c r="C254" s="19"/>
      <c r="D254" s="19"/>
      <c r="E254" s="19"/>
      <c r="F254" s="20"/>
      <c r="G254" s="21"/>
      <c r="H254" s="14" t="str">
        <f aca="false">IF(OR($A254="",$D254="",$E254="",$F254=""),"",IFERROR($A254&amp;" / "&amp;IF(AND($F254=1,$D254=$E254),INDEX(Listas!$I$5:$I$25,MATCH($E254,Listas!$H$5:$H$25,0)),INDEX(Listas!$I$5:$I$25,MATCH($E254,Listas!$H$5:$H$25,0))&amp;" X "&amp;TEXT($F254,"0.####")&amp;" "&amp;INDEX(Listas!$I$5:$I$25,MATCH($D254,Listas!$H$5:$H$25,0))),"⚠ revisar la unidad"))</f>
        <v/>
      </c>
      <c r="I254" s="15" t="str">
        <f aca="false">IF(OR($F254="",$G254="",$F254=0),"",$G254/$F254)</f>
        <v/>
      </c>
      <c r="J254" s="22"/>
      <c r="K254" s="22"/>
      <c r="L254" s="22"/>
      <c r="M254" s="22"/>
      <c r="N254" s="22"/>
      <c r="O254" s="22"/>
      <c r="P254" s="23"/>
    </row>
    <row r="255" customFormat="false" ht="15" hidden="false" customHeight="false" outlineLevel="0" collapsed="false">
      <c r="A255" s="18"/>
      <c r="B255" s="19"/>
      <c r="C255" s="19"/>
      <c r="D255" s="19"/>
      <c r="E255" s="19"/>
      <c r="F255" s="20"/>
      <c r="G255" s="21"/>
      <c r="H255" s="14" t="str">
        <f aca="false">IF(OR($A255="",$D255="",$E255="",$F255=""),"",IFERROR($A255&amp;" / "&amp;IF(AND($F255=1,$D255=$E255),INDEX(Listas!$I$5:$I$25,MATCH($E255,Listas!$H$5:$H$25,0)),INDEX(Listas!$I$5:$I$25,MATCH($E255,Listas!$H$5:$H$25,0))&amp;" X "&amp;TEXT($F255,"0.####")&amp;" "&amp;INDEX(Listas!$I$5:$I$25,MATCH($D255,Listas!$H$5:$H$25,0))),"⚠ revisar la unidad"))</f>
        <v/>
      </c>
      <c r="I255" s="15" t="str">
        <f aca="false">IF(OR($F255="",$G255="",$F255=0),"",$G255/$F255)</f>
        <v/>
      </c>
      <c r="J255" s="22"/>
      <c r="K255" s="22"/>
      <c r="L255" s="22"/>
      <c r="M255" s="22"/>
      <c r="N255" s="22"/>
      <c r="O255" s="22"/>
      <c r="P255" s="23"/>
    </row>
    <row r="256" customFormat="false" ht="15" hidden="false" customHeight="false" outlineLevel="0" collapsed="false">
      <c r="A256" s="18"/>
      <c r="B256" s="19"/>
      <c r="C256" s="19"/>
      <c r="D256" s="19"/>
      <c r="E256" s="19"/>
      <c r="F256" s="20"/>
      <c r="G256" s="21"/>
      <c r="H256" s="14" t="str">
        <f aca="false">IF(OR($A256="",$D256="",$E256="",$F256=""),"",IFERROR($A256&amp;" / "&amp;IF(AND($F256=1,$D256=$E256),INDEX(Listas!$I$5:$I$25,MATCH($E256,Listas!$H$5:$H$25,0)),INDEX(Listas!$I$5:$I$25,MATCH($E256,Listas!$H$5:$H$25,0))&amp;" X "&amp;TEXT($F256,"0.####")&amp;" "&amp;INDEX(Listas!$I$5:$I$25,MATCH($D256,Listas!$H$5:$H$25,0))),"⚠ revisar la unidad"))</f>
        <v/>
      </c>
      <c r="I256" s="15" t="str">
        <f aca="false">IF(OR($F256="",$G256="",$F256=0),"",$G256/$F256)</f>
        <v/>
      </c>
      <c r="J256" s="22"/>
      <c r="K256" s="22"/>
      <c r="L256" s="22"/>
      <c r="M256" s="22"/>
      <c r="N256" s="22"/>
      <c r="O256" s="22"/>
      <c r="P256" s="23"/>
    </row>
    <row r="257" customFormat="false" ht="15" hidden="false" customHeight="false" outlineLevel="0" collapsed="false">
      <c r="A257" s="18"/>
      <c r="B257" s="19"/>
      <c r="C257" s="19"/>
      <c r="D257" s="19"/>
      <c r="E257" s="19"/>
      <c r="F257" s="20"/>
      <c r="G257" s="21"/>
      <c r="H257" s="14" t="str">
        <f aca="false">IF(OR($A257="",$D257="",$E257="",$F257=""),"",IFERROR($A257&amp;" / "&amp;IF(AND($F257=1,$D257=$E257),INDEX(Listas!$I$5:$I$25,MATCH($E257,Listas!$H$5:$H$25,0)),INDEX(Listas!$I$5:$I$25,MATCH($E257,Listas!$H$5:$H$25,0))&amp;" X "&amp;TEXT($F257,"0.####")&amp;" "&amp;INDEX(Listas!$I$5:$I$25,MATCH($D257,Listas!$H$5:$H$25,0))),"⚠ revisar la unidad"))</f>
        <v/>
      </c>
      <c r="I257" s="15" t="str">
        <f aca="false">IF(OR($F257="",$G257="",$F257=0),"",$G257/$F257)</f>
        <v/>
      </c>
      <c r="J257" s="22"/>
      <c r="K257" s="22"/>
      <c r="L257" s="22"/>
      <c r="M257" s="22"/>
      <c r="N257" s="22"/>
      <c r="O257" s="22"/>
      <c r="P257" s="23"/>
    </row>
    <row r="258" customFormat="false" ht="15" hidden="false" customHeight="false" outlineLevel="0" collapsed="false">
      <c r="A258" s="18"/>
      <c r="B258" s="19"/>
      <c r="C258" s="19"/>
      <c r="D258" s="19"/>
      <c r="E258" s="19"/>
      <c r="F258" s="20"/>
      <c r="G258" s="21"/>
      <c r="H258" s="14" t="str">
        <f aca="false">IF(OR($A258="",$D258="",$E258="",$F258=""),"",IFERROR($A258&amp;" / "&amp;IF(AND($F258=1,$D258=$E258),INDEX(Listas!$I$5:$I$25,MATCH($E258,Listas!$H$5:$H$25,0)),INDEX(Listas!$I$5:$I$25,MATCH($E258,Listas!$H$5:$H$25,0))&amp;" X "&amp;TEXT($F258,"0.####")&amp;" "&amp;INDEX(Listas!$I$5:$I$25,MATCH($D258,Listas!$H$5:$H$25,0))),"⚠ revisar la unidad"))</f>
        <v/>
      </c>
      <c r="I258" s="15" t="str">
        <f aca="false">IF(OR($F258="",$G258="",$F258=0),"",$G258/$F258)</f>
        <v/>
      </c>
      <c r="J258" s="22"/>
      <c r="K258" s="22"/>
      <c r="L258" s="22"/>
      <c r="M258" s="22"/>
      <c r="N258" s="22"/>
      <c r="O258" s="22"/>
      <c r="P258" s="23"/>
    </row>
    <row r="259" customFormat="false" ht="15" hidden="false" customHeight="false" outlineLevel="0" collapsed="false">
      <c r="A259" s="18"/>
      <c r="B259" s="19"/>
      <c r="C259" s="19"/>
      <c r="D259" s="19"/>
      <c r="E259" s="19"/>
      <c r="F259" s="20"/>
      <c r="G259" s="21"/>
      <c r="H259" s="14" t="str">
        <f aca="false">IF(OR($A259="",$D259="",$E259="",$F259=""),"",IFERROR($A259&amp;" / "&amp;IF(AND($F259=1,$D259=$E259),INDEX(Listas!$I$5:$I$25,MATCH($E259,Listas!$H$5:$H$25,0)),INDEX(Listas!$I$5:$I$25,MATCH($E259,Listas!$H$5:$H$25,0))&amp;" X "&amp;TEXT($F259,"0.####")&amp;" "&amp;INDEX(Listas!$I$5:$I$25,MATCH($D259,Listas!$H$5:$H$25,0))),"⚠ revisar la unidad"))</f>
        <v/>
      </c>
      <c r="I259" s="15" t="str">
        <f aca="false">IF(OR($F259="",$G259="",$F259=0),"",$G259/$F259)</f>
        <v/>
      </c>
      <c r="J259" s="22"/>
      <c r="K259" s="22"/>
      <c r="L259" s="22"/>
      <c r="M259" s="22"/>
      <c r="N259" s="22"/>
      <c r="O259" s="22"/>
      <c r="P259" s="23"/>
    </row>
    <row r="260" customFormat="false" ht="15" hidden="false" customHeight="false" outlineLevel="0" collapsed="false">
      <c r="A260" s="18"/>
      <c r="B260" s="19"/>
      <c r="C260" s="19"/>
      <c r="D260" s="19"/>
      <c r="E260" s="19"/>
      <c r="F260" s="20"/>
      <c r="G260" s="21"/>
      <c r="H260" s="14" t="str">
        <f aca="false">IF(OR($A260="",$D260="",$E260="",$F260=""),"",IFERROR($A260&amp;" / "&amp;IF(AND($F260=1,$D260=$E260),INDEX(Listas!$I$5:$I$25,MATCH($E260,Listas!$H$5:$H$25,0)),INDEX(Listas!$I$5:$I$25,MATCH($E260,Listas!$H$5:$H$25,0))&amp;" X "&amp;TEXT($F260,"0.####")&amp;" "&amp;INDEX(Listas!$I$5:$I$25,MATCH($D260,Listas!$H$5:$H$25,0))),"⚠ revisar la unidad"))</f>
        <v/>
      </c>
      <c r="I260" s="15" t="str">
        <f aca="false">IF(OR($F260="",$G260="",$F260=0),"",$G260/$F260)</f>
        <v/>
      </c>
      <c r="J260" s="22"/>
      <c r="K260" s="22"/>
      <c r="L260" s="22"/>
      <c r="M260" s="22"/>
      <c r="N260" s="22"/>
      <c r="O260" s="22"/>
      <c r="P260" s="23"/>
    </row>
    <row r="261" customFormat="false" ht="15" hidden="false" customHeight="false" outlineLevel="0" collapsed="false">
      <c r="A261" s="18"/>
      <c r="B261" s="19"/>
      <c r="C261" s="19"/>
      <c r="D261" s="19"/>
      <c r="E261" s="19"/>
      <c r="F261" s="20"/>
      <c r="G261" s="21"/>
      <c r="H261" s="14" t="str">
        <f aca="false">IF(OR($A261="",$D261="",$E261="",$F261=""),"",IFERROR($A261&amp;" / "&amp;IF(AND($F261=1,$D261=$E261),INDEX(Listas!$I$5:$I$25,MATCH($E261,Listas!$H$5:$H$25,0)),INDEX(Listas!$I$5:$I$25,MATCH($E261,Listas!$H$5:$H$25,0))&amp;" X "&amp;TEXT($F261,"0.####")&amp;" "&amp;INDEX(Listas!$I$5:$I$25,MATCH($D261,Listas!$H$5:$H$25,0))),"⚠ revisar la unidad"))</f>
        <v/>
      </c>
      <c r="I261" s="15" t="str">
        <f aca="false">IF(OR($F261="",$G261="",$F261=0),"",$G261/$F261)</f>
        <v/>
      </c>
      <c r="J261" s="22"/>
      <c r="K261" s="22"/>
      <c r="L261" s="22"/>
      <c r="M261" s="22"/>
      <c r="N261" s="22"/>
      <c r="O261" s="22"/>
      <c r="P261" s="23"/>
    </row>
    <row r="262" customFormat="false" ht="15" hidden="false" customHeight="false" outlineLevel="0" collapsed="false">
      <c r="A262" s="18"/>
      <c r="B262" s="19"/>
      <c r="C262" s="19"/>
      <c r="D262" s="19"/>
      <c r="E262" s="19"/>
      <c r="F262" s="20"/>
      <c r="G262" s="21"/>
      <c r="H262" s="14" t="str">
        <f aca="false">IF(OR($A262="",$D262="",$E262="",$F262=""),"",IFERROR($A262&amp;" / "&amp;IF(AND($F262=1,$D262=$E262),INDEX(Listas!$I$5:$I$25,MATCH($E262,Listas!$H$5:$H$25,0)),INDEX(Listas!$I$5:$I$25,MATCH($E262,Listas!$H$5:$H$25,0))&amp;" X "&amp;TEXT($F262,"0.####")&amp;" "&amp;INDEX(Listas!$I$5:$I$25,MATCH($D262,Listas!$H$5:$H$25,0))),"⚠ revisar la unidad"))</f>
        <v/>
      </c>
      <c r="I262" s="15" t="str">
        <f aca="false">IF(OR($F262="",$G262="",$F262=0),"",$G262/$F262)</f>
        <v/>
      </c>
      <c r="J262" s="22"/>
      <c r="K262" s="22"/>
      <c r="L262" s="22"/>
      <c r="M262" s="22"/>
      <c r="N262" s="22"/>
      <c r="O262" s="22"/>
      <c r="P262" s="23"/>
    </row>
    <row r="263" customFormat="false" ht="15" hidden="false" customHeight="false" outlineLevel="0" collapsed="false">
      <c r="A263" s="18"/>
      <c r="B263" s="19"/>
      <c r="C263" s="19"/>
      <c r="D263" s="19"/>
      <c r="E263" s="19"/>
      <c r="F263" s="20"/>
      <c r="G263" s="21"/>
      <c r="H263" s="14" t="str">
        <f aca="false">IF(OR($A263="",$D263="",$E263="",$F263=""),"",IFERROR($A263&amp;" / "&amp;IF(AND($F263=1,$D263=$E263),INDEX(Listas!$I$5:$I$25,MATCH($E263,Listas!$H$5:$H$25,0)),INDEX(Listas!$I$5:$I$25,MATCH($E263,Listas!$H$5:$H$25,0))&amp;" X "&amp;TEXT($F263,"0.####")&amp;" "&amp;INDEX(Listas!$I$5:$I$25,MATCH($D263,Listas!$H$5:$H$25,0))),"⚠ revisar la unidad"))</f>
        <v/>
      </c>
      <c r="I263" s="15" t="str">
        <f aca="false">IF(OR($F263="",$G263="",$F263=0),"",$G263/$F263)</f>
        <v/>
      </c>
      <c r="J263" s="22"/>
      <c r="K263" s="22"/>
      <c r="L263" s="22"/>
      <c r="M263" s="22"/>
      <c r="N263" s="22"/>
      <c r="O263" s="22"/>
      <c r="P263" s="23"/>
    </row>
    <row r="264" customFormat="false" ht="15" hidden="false" customHeight="false" outlineLevel="0" collapsed="false">
      <c r="A264" s="18"/>
      <c r="B264" s="19"/>
      <c r="C264" s="19"/>
      <c r="D264" s="19"/>
      <c r="E264" s="19"/>
      <c r="F264" s="20"/>
      <c r="G264" s="21"/>
      <c r="H264" s="14" t="str">
        <f aca="false">IF(OR($A264="",$D264="",$E264="",$F264=""),"",IFERROR($A264&amp;" / "&amp;IF(AND($F264=1,$D264=$E264),INDEX(Listas!$I$5:$I$25,MATCH($E264,Listas!$H$5:$H$25,0)),INDEX(Listas!$I$5:$I$25,MATCH($E264,Listas!$H$5:$H$25,0))&amp;" X "&amp;TEXT($F264,"0.####")&amp;" "&amp;INDEX(Listas!$I$5:$I$25,MATCH($D264,Listas!$H$5:$H$25,0))),"⚠ revisar la unidad"))</f>
        <v/>
      </c>
      <c r="I264" s="15" t="str">
        <f aca="false">IF(OR($F264="",$G264="",$F264=0),"",$G264/$F264)</f>
        <v/>
      </c>
      <c r="J264" s="22"/>
      <c r="K264" s="22"/>
      <c r="L264" s="22"/>
      <c r="M264" s="22"/>
      <c r="N264" s="22"/>
      <c r="O264" s="22"/>
      <c r="P264" s="23"/>
    </row>
    <row r="265" customFormat="false" ht="15" hidden="false" customHeight="false" outlineLevel="0" collapsed="false">
      <c r="A265" s="18"/>
      <c r="B265" s="19"/>
      <c r="C265" s="19"/>
      <c r="D265" s="19"/>
      <c r="E265" s="19"/>
      <c r="F265" s="20"/>
      <c r="G265" s="21"/>
      <c r="H265" s="14" t="str">
        <f aca="false">IF(OR($A265="",$D265="",$E265="",$F265=""),"",IFERROR($A265&amp;" / "&amp;IF(AND($F265=1,$D265=$E265),INDEX(Listas!$I$5:$I$25,MATCH($E265,Listas!$H$5:$H$25,0)),INDEX(Listas!$I$5:$I$25,MATCH($E265,Listas!$H$5:$H$25,0))&amp;" X "&amp;TEXT($F265,"0.####")&amp;" "&amp;INDEX(Listas!$I$5:$I$25,MATCH($D265,Listas!$H$5:$H$25,0))),"⚠ revisar la unidad"))</f>
        <v/>
      </c>
      <c r="I265" s="15" t="str">
        <f aca="false">IF(OR($F265="",$G265="",$F265=0),"",$G265/$F265)</f>
        <v/>
      </c>
      <c r="J265" s="22"/>
      <c r="K265" s="22"/>
      <c r="L265" s="22"/>
      <c r="M265" s="22"/>
      <c r="N265" s="22"/>
      <c r="O265" s="22"/>
      <c r="P265" s="23"/>
    </row>
    <row r="266" customFormat="false" ht="15" hidden="false" customHeight="false" outlineLevel="0" collapsed="false">
      <c r="A266" s="18"/>
      <c r="B266" s="19"/>
      <c r="C266" s="19"/>
      <c r="D266" s="19"/>
      <c r="E266" s="19"/>
      <c r="F266" s="20"/>
      <c r="G266" s="21"/>
      <c r="H266" s="14" t="str">
        <f aca="false">IF(OR($A266="",$D266="",$E266="",$F266=""),"",IFERROR($A266&amp;" / "&amp;IF(AND($F266=1,$D266=$E266),INDEX(Listas!$I$5:$I$25,MATCH($E266,Listas!$H$5:$H$25,0)),INDEX(Listas!$I$5:$I$25,MATCH($E266,Listas!$H$5:$H$25,0))&amp;" X "&amp;TEXT($F266,"0.####")&amp;" "&amp;INDEX(Listas!$I$5:$I$25,MATCH($D266,Listas!$H$5:$H$25,0))),"⚠ revisar la unidad"))</f>
        <v/>
      </c>
      <c r="I266" s="15" t="str">
        <f aca="false">IF(OR($F266="",$G266="",$F266=0),"",$G266/$F266)</f>
        <v/>
      </c>
      <c r="J266" s="22"/>
      <c r="K266" s="22"/>
      <c r="L266" s="22"/>
      <c r="M266" s="22"/>
      <c r="N266" s="22"/>
      <c r="O266" s="22"/>
      <c r="P266" s="23"/>
    </row>
    <row r="267" customFormat="false" ht="15" hidden="false" customHeight="false" outlineLevel="0" collapsed="false">
      <c r="A267" s="18"/>
      <c r="B267" s="19"/>
      <c r="C267" s="19"/>
      <c r="D267" s="19"/>
      <c r="E267" s="19"/>
      <c r="F267" s="20"/>
      <c r="G267" s="21"/>
      <c r="H267" s="14" t="str">
        <f aca="false">IF(OR($A267="",$D267="",$E267="",$F267=""),"",IFERROR($A267&amp;" / "&amp;IF(AND($F267=1,$D267=$E267),INDEX(Listas!$I$5:$I$25,MATCH($E267,Listas!$H$5:$H$25,0)),INDEX(Listas!$I$5:$I$25,MATCH($E267,Listas!$H$5:$H$25,0))&amp;" X "&amp;TEXT($F267,"0.####")&amp;" "&amp;INDEX(Listas!$I$5:$I$25,MATCH($D267,Listas!$H$5:$H$25,0))),"⚠ revisar la unidad"))</f>
        <v/>
      </c>
      <c r="I267" s="15" t="str">
        <f aca="false">IF(OR($F267="",$G267="",$F267=0),"",$G267/$F267)</f>
        <v/>
      </c>
      <c r="J267" s="22"/>
      <c r="K267" s="22"/>
      <c r="L267" s="22"/>
      <c r="M267" s="22"/>
      <c r="N267" s="22"/>
      <c r="O267" s="22"/>
      <c r="P267" s="23"/>
    </row>
    <row r="268" customFormat="false" ht="15" hidden="false" customHeight="false" outlineLevel="0" collapsed="false">
      <c r="A268" s="18"/>
      <c r="B268" s="19"/>
      <c r="C268" s="19"/>
      <c r="D268" s="19"/>
      <c r="E268" s="19"/>
      <c r="F268" s="20"/>
      <c r="G268" s="21"/>
      <c r="H268" s="14" t="str">
        <f aca="false">IF(OR($A268="",$D268="",$E268="",$F268=""),"",IFERROR($A268&amp;" / "&amp;IF(AND($F268=1,$D268=$E268),INDEX(Listas!$I$5:$I$25,MATCH($E268,Listas!$H$5:$H$25,0)),INDEX(Listas!$I$5:$I$25,MATCH($E268,Listas!$H$5:$H$25,0))&amp;" X "&amp;TEXT($F268,"0.####")&amp;" "&amp;INDEX(Listas!$I$5:$I$25,MATCH($D268,Listas!$H$5:$H$25,0))),"⚠ revisar la unidad"))</f>
        <v/>
      </c>
      <c r="I268" s="15" t="str">
        <f aca="false">IF(OR($F268="",$G268="",$F268=0),"",$G268/$F268)</f>
        <v/>
      </c>
      <c r="J268" s="22"/>
      <c r="K268" s="22"/>
      <c r="L268" s="22"/>
      <c r="M268" s="22"/>
      <c r="N268" s="22"/>
      <c r="O268" s="22"/>
      <c r="P268" s="23"/>
    </row>
    <row r="269" customFormat="false" ht="15" hidden="false" customHeight="false" outlineLevel="0" collapsed="false">
      <c r="A269" s="18"/>
      <c r="B269" s="19"/>
      <c r="C269" s="19"/>
      <c r="D269" s="19"/>
      <c r="E269" s="19"/>
      <c r="F269" s="20"/>
      <c r="G269" s="21"/>
      <c r="H269" s="14" t="str">
        <f aca="false">IF(OR($A269="",$D269="",$E269="",$F269=""),"",IFERROR($A269&amp;" / "&amp;IF(AND($F269=1,$D269=$E269),INDEX(Listas!$I$5:$I$25,MATCH($E269,Listas!$H$5:$H$25,0)),INDEX(Listas!$I$5:$I$25,MATCH($E269,Listas!$H$5:$H$25,0))&amp;" X "&amp;TEXT($F269,"0.####")&amp;" "&amp;INDEX(Listas!$I$5:$I$25,MATCH($D269,Listas!$H$5:$H$25,0))),"⚠ revisar la unidad"))</f>
        <v/>
      </c>
      <c r="I269" s="15" t="str">
        <f aca="false">IF(OR($F269="",$G269="",$F269=0),"",$G269/$F269)</f>
        <v/>
      </c>
      <c r="J269" s="22"/>
      <c r="K269" s="22"/>
      <c r="L269" s="22"/>
      <c r="M269" s="22"/>
      <c r="N269" s="22"/>
      <c r="O269" s="22"/>
      <c r="P269" s="23"/>
    </row>
    <row r="270" customFormat="false" ht="15" hidden="false" customHeight="false" outlineLevel="0" collapsed="false">
      <c r="A270" s="18"/>
      <c r="B270" s="19"/>
      <c r="C270" s="19"/>
      <c r="D270" s="19"/>
      <c r="E270" s="19"/>
      <c r="F270" s="20"/>
      <c r="G270" s="21"/>
      <c r="H270" s="14" t="str">
        <f aca="false">IF(OR($A270="",$D270="",$E270="",$F270=""),"",IFERROR($A270&amp;" / "&amp;IF(AND($F270=1,$D270=$E270),INDEX(Listas!$I$5:$I$25,MATCH($E270,Listas!$H$5:$H$25,0)),INDEX(Listas!$I$5:$I$25,MATCH($E270,Listas!$H$5:$H$25,0))&amp;" X "&amp;TEXT($F270,"0.####")&amp;" "&amp;INDEX(Listas!$I$5:$I$25,MATCH($D270,Listas!$H$5:$H$25,0))),"⚠ revisar la unidad"))</f>
        <v/>
      </c>
      <c r="I270" s="15" t="str">
        <f aca="false">IF(OR($F270="",$G270="",$F270=0),"",$G270/$F270)</f>
        <v/>
      </c>
      <c r="J270" s="22"/>
      <c r="K270" s="22"/>
      <c r="L270" s="22"/>
      <c r="M270" s="22"/>
      <c r="N270" s="22"/>
      <c r="O270" s="22"/>
      <c r="P270" s="23"/>
    </row>
    <row r="271" customFormat="false" ht="15" hidden="false" customHeight="false" outlineLevel="0" collapsed="false">
      <c r="A271" s="18"/>
      <c r="B271" s="19"/>
      <c r="C271" s="19"/>
      <c r="D271" s="19"/>
      <c r="E271" s="19"/>
      <c r="F271" s="20"/>
      <c r="G271" s="21"/>
      <c r="H271" s="14" t="str">
        <f aca="false">IF(OR($A271="",$D271="",$E271="",$F271=""),"",IFERROR($A271&amp;" / "&amp;IF(AND($F271=1,$D271=$E271),INDEX(Listas!$I$5:$I$25,MATCH($E271,Listas!$H$5:$H$25,0)),INDEX(Listas!$I$5:$I$25,MATCH($E271,Listas!$H$5:$H$25,0))&amp;" X "&amp;TEXT($F271,"0.####")&amp;" "&amp;INDEX(Listas!$I$5:$I$25,MATCH($D271,Listas!$H$5:$H$25,0))),"⚠ revisar la unidad"))</f>
        <v/>
      </c>
      <c r="I271" s="15" t="str">
        <f aca="false">IF(OR($F271="",$G271="",$F271=0),"",$G271/$F271)</f>
        <v/>
      </c>
      <c r="J271" s="22"/>
      <c r="K271" s="22"/>
      <c r="L271" s="22"/>
      <c r="M271" s="22"/>
      <c r="N271" s="22"/>
      <c r="O271" s="22"/>
      <c r="P271" s="23"/>
    </row>
    <row r="272" customFormat="false" ht="15" hidden="false" customHeight="false" outlineLevel="0" collapsed="false">
      <c r="A272" s="18"/>
      <c r="B272" s="19"/>
      <c r="C272" s="19"/>
      <c r="D272" s="19"/>
      <c r="E272" s="19"/>
      <c r="F272" s="20"/>
      <c r="G272" s="21"/>
      <c r="H272" s="14" t="str">
        <f aca="false">IF(OR($A272="",$D272="",$E272="",$F272=""),"",IFERROR($A272&amp;" / "&amp;IF(AND($F272=1,$D272=$E272),INDEX(Listas!$I$5:$I$25,MATCH($E272,Listas!$H$5:$H$25,0)),INDEX(Listas!$I$5:$I$25,MATCH($E272,Listas!$H$5:$H$25,0))&amp;" X "&amp;TEXT($F272,"0.####")&amp;" "&amp;INDEX(Listas!$I$5:$I$25,MATCH($D272,Listas!$H$5:$H$25,0))),"⚠ revisar la unidad"))</f>
        <v/>
      </c>
      <c r="I272" s="15" t="str">
        <f aca="false">IF(OR($F272="",$G272="",$F272=0),"",$G272/$F272)</f>
        <v/>
      </c>
      <c r="J272" s="22"/>
      <c r="K272" s="22"/>
      <c r="L272" s="22"/>
      <c r="M272" s="22"/>
      <c r="N272" s="22"/>
      <c r="O272" s="22"/>
      <c r="P272" s="23"/>
    </row>
    <row r="273" customFormat="false" ht="15" hidden="false" customHeight="false" outlineLevel="0" collapsed="false">
      <c r="A273" s="18"/>
      <c r="B273" s="19"/>
      <c r="C273" s="19"/>
      <c r="D273" s="19"/>
      <c r="E273" s="19"/>
      <c r="F273" s="20"/>
      <c r="G273" s="21"/>
      <c r="H273" s="14" t="str">
        <f aca="false">IF(OR($A273="",$D273="",$E273="",$F273=""),"",IFERROR($A273&amp;" / "&amp;IF(AND($F273=1,$D273=$E273),INDEX(Listas!$I$5:$I$25,MATCH($E273,Listas!$H$5:$H$25,0)),INDEX(Listas!$I$5:$I$25,MATCH($E273,Listas!$H$5:$H$25,0))&amp;" X "&amp;TEXT($F273,"0.####")&amp;" "&amp;INDEX(Listas!$I$5:$I$25,MATCH($D273,Listas!$H$5:$H$25,0))),"⚠ revisar la unidad"))</f>
        <v/>
      </c>
      <c r="I273" s="15" t="str">
        <f aca="false">IF(OR($F273="",$G273="",$F273=0),"",$G273/$F273)</f>
        <v/>
      </c>
      <c r="J273" s="22"/>
      <c r="K273" s="22"/>
      <c r="L273" s="22"/>
      <c r="M273" s="22"/>
      <c r="N273" s="22"/>
      <c r="O273" s="22"/>
      <c r="P273" s="23"/>
    </row>
    <row r="274" customFormat="false" ht="15" hidden="false" customHeight="false" outlineLevel="0" collapsed="false">
      <c r="A274" s="18"/>
      <c r="B274" s="19"/>
      <c r="C274" s="19"/>
      <c r="D274" s="19"/>
      <c r="E274" s="19"/>
      <c r="F274" s="20"/>
      <c r="G274" s="21"/>
      <c r="H274" s="14" t="str">
        <f aca="false">IF(OR($A274="",$D274="",$E274="",$F274=""),"",IFERROR($A274&amp;" / "&amp;IF(AND($F274=1,$D274=$E274),INDEX(Listas!$I$5:$I$25,MATCH($E274,Listas!$H$5:$H$25,0)),INDEX(Listas!$I$5:$I$25,MATCH($E274,Listas!$H$5:$H$25,0))&amp;" X "&amp;TEXT($F274,"0.####")&amp;" "&amp;INDEX(Listas!$I$5:$I$25,MATCH($D274,Listas!$H$5:$H$25,0))),"⚠ revisar la unidad"))</f>
        <v/>
      </c>
      <c r="I274" s="15" t="str">
        <f aca="false">IF(OR($F274="",$G274="",$F274=0),"",$G274/$F274)</f>
        <v/>
      </c>
      <c r="J274" s="22"/>
      <c r="K274" s="22"/>
      <c r="L274" s="22"/>
      <c r="M274" s="22"/>
      <c r="N274" s="22"/>
      <c r="O274" s="22"/>
      <c r="P274" s="23"/>
    </row>
    <row r="275" customFormat="false" ht="15" hidden="false" customHeight="false" outlineLevel="0" collapsed="false">
      <c r="A275" s="18"/>
      <c r="B275" s="19"/>
      <c r="C275" s="19"/>
      <c r="D275" s="19"/>
      <c r="E275" s="19"/>
      <c r="F275" s="20"/>
      <c r="G275" s="21"/>
      <c r="H275" s="14" t="str">
        <f aca="false">IF(OR($A275="",$D275="",$E275="",$F275=""),"",IFERROR($A275&amp;" / "&amp;IF(AND($F275=1,$D275=$E275),INDEX(Listas!$I$5:$I$25,MATCH($E275,Listas!$H$5:$H$25,0)),INDEX(Listas!$I$5:$I$25,MATCH($E275,Listas!$H$5:$H$25,0))&amp;" X "&amp;TEXT($F275,"0.####")&amp;" "&amp;INDEX(Listas!$I$5:$I$25,MATCH($D275,Listas!$H$5:$H$25,0))),"⚠ revisar la unidad"))</f>
        <v/>
      </c>
      <c r="I275" s="15" t="str">
        <f aca="false">IF(OR($F275="",$G275="",$F275=0),"",$G275/$F275)</f>
        <v/>
      </c>
      <c r="J275" s="22"/>
      <c r="K275" s="22"/>
      <c r="L275" s="22"/>
      <c r="M275" s="22"/>
      <c r="N275" s="22"/>
      <c r="O275" s="22"/>
      <c r="P275" s="23"/>
    </row>
    <row r="276" customFormat="false" ht="15" hidden="false" customHeight="false" outlineLevel="0" collapsed="false">
      <c r="A276" s="18"/>
      <c r="B276" s="19"/>
      <c r="C276" s="19"/>
      <c r="D276" s="19"/>
      <c r="E276" s="19"/>
      <c r="F276" s="20"/>
      <c r="G276" s="21"/>
      <c r="H276" s="14" t="str">
        <f aca="false">IF(OR($A276="",$D276="",$E276="",$F276=""),"",IFERROR($A276&amp;" / "&amp;IF(AND($F276=1,$D276=$E276),INDEX(Listas!$I$5:$I$25,MATCH($E276,Listas!$H$5:$H$25,0)),INDEX(Listas!$I$5:$I$25,MATCH($E276,Listas!$H$5:$H$25,0))&amp;" X "&amp;TEXT($F276,"0.####")&amp;" "&amp;INDEX(Listas!$I$5:$I$25,MATCH($D276,Listas!$H$5:$H$25,0))),"⚠ revisar la unidad"))</f>
        <v/>
      </c>
      <c r="I276" s="15" t="str">
        <f aca="false">IF(OR($F276="",$G276="",$F276=0),"",$G276/$F276)</f>
        <v/>
      </c>
      <c r="J276" s="22"/>
      <c r="K276" s="22"/>
      <c r="L276" s="22"/>
      <c r="M276" s="22"/>
      <c r="N276" s="22"/>
      <c r="O276" s="22"/>
      <c r="P276" s="23"/>
    </row>
    <row r="277" customFormat="false" ht="15" hidden="false" customHeight="false" outlineLevel="0" collapsed="false">
      <c r="A277" s="18"/>
      <c r="B277" s="19"/>
      <c r="C277" s="19"/>
      <c r="D277" s="19"/>
      <c r="E277" s="19"/>
      <c r="F277" s="20"/>
      <c r="G277" s="21"/>
      <c r="H277" s="14" t="str">
        <f aca="false">IF(OR($A277="",$D277="",$E277="",$F277=""),"",IFERROR($A277&amp;" / "&amp;IF(AND($F277=1,$D277=$E277),INDEX(Listas!$I$5:$I$25,MATCH($E277,Listas!$H$5:$H$25,0)),INDEX(Listas!$I$5:$I$25,MATCH($E277,Listas!$H$5:$H$25,0))&amp;" X "&amp;TEXT($F277,"0.####")&amp;" "&amp;INDEX(Listas!$I$5:$I$25,MATCH($D277,Listas!$H$5:$H$25,0))),"⚠ revisar la unidad"))</f>
        <v/>
      </c>
      <c r="I277" s="15" t="str">
        <f aca="false">IF(OR($F277="",$G277="",$F277=0),"",$G277/$F277)</f>
        <v/>
      </c>
      <c r="J277" s="22"/>
      <c r="K277" s="22"/>
      <c r="L277" s="22"/>
      <c r="M277" s="22"/>
      <c r="N277" s="22"/>
      <c r="O277" s="22"/>
      <c r="P277" s="23"/>
    </row>
    <row r="278" customFormat="false" ht="15" hidden="false" customHeight="false" outlineLevel="0" collapsed="false">
      <c r="A278" s="18"/>
      <c r="B278" s="19"/>
      <c r="C278" s="19"/>
      <c r="D278" s="19"/>
      <c r="E278" s="19"/>
      <c r="F278" s="20"/>
      <c r="G278" s="21"/>
      <c r="H278" s="14" t="str">
        <f aca="false">IF(OR($A278="",$D278="",$E278="",$F278=""),"",IFERROR($A278&amp;" / "&amp;IF(AND($F278=1,$D278=$E278),INDEX(Listas!$I$5:$I$25,MATCH($E278,Listas!$H$5:$H$25,0)),INDEX(Listas!$I$5:$I$25,MATCH($E278,Listas!$H$5:$H$25,0))&amp;" X "&amp;TEXT($F278,"0.####")&amp;" "&amp;INDEX(Listas!$I$5:$I$25,MATCH($D278,Listas!$H$5:$H$25,0))),"⚠ revisar la unidad"))</f>
        <v/>
      </c>
      <c r="I278" s="15" t="str">
        <f aca="false">IF(OR($F278="",$G278="",$F278=0),"",$G278/$F278)</f>
        <v/>
      </c>
      <c r="J278" s="22"/>
      <c r="K278" s="22"/>
      <c r="L278" s="22"/>
      <c r="M278" s="22"/>
      <c r="N278" s="22"/>
      <c r="O278" s="22"/>
      <c r="P278" s="23"/>
    </row>
    <row r="279" customFormat="false" ht="15" hidden="false" customHeight="false" outlineLevel="0" collapsed="false">
      <c r="A279" s="18"/>
      <c r="B279" s="19"/>
      <c r="C279" s="19"/>
      <c r="D279" s="19"/>
      <c r="E279" s="19"/>
      <c r="F279" s="20"/>
      <c r="G279" s="21"/>
      <c r="H279" s="14" t="str">
        <f aca="false">IF(OR($A279="",$D279="",$E279="",$F279=""),"",IFERROR($A279&amp;" / "&amp;IF(AND($F279=1,$D279=$E279),INDEX(Listas!$I$5:$I$25,MATCH($E279,Listas!$H$5:$H$25,0)),INDEX(Listas!$I$5:$I$25,MATCH($E279,Listas!$H$5:$H$25,0))&amp;" X "&amp;TEXT($F279,"0.####")&amp;" "&amp;INDEX(Listas!$I$5:$I$25,MATCH($D279,Listas!$H$5:$H$25,0))),"⚠ revisar la unidad"))</f>
        <v/>
      </c>
      <c r="I279" s="15" t="str">
        <f aca="false">IF(OR($F279="",$G279="",$F279=0),"",$G279/$F279)</f>
        <v/>
      </c>
      <c r="J279" s="22"/>
      <c r="K279" s="22"/>
      <c r="L279" s="22"/>
      <c r="M279" s="22"/>
      <c r="N279" s="22"/>
      <c r="O279" s="22"/>
      <c r="P279" s="23"/>
    </row>
    <row r="280" customFormat="false" ht="15" hidden="false" customHeight="false" outlineLevel="0" collapsed="false">
      <c r="A280" s="18"/>
      <c r="B280" s="19"/>
      <c r="C280" s="19"/>
      <c r="D280" s="19"/>
      <c r="E280" s="19"/>
      <c r="F280" s="20"/>
      <c r="G280" s="21"/>
      <c r="H280" s="14" t="str">
        <f aca="false">IF(OR($A280="",$D280="",$E280="",$F280=""),"",IFERROR($A280&amp;" / "&amp;IF(AND($F280=1,$D280=$E280),INDEX(Listas!$I$5:$I$25,MATCH($E280,Listas!$H$5:$H$25,0)),INDEX(Listas!$I$5:$I$25,MATCH($E280,Listas!$H$5:$H$25,0))&amp;" X "&amp;TEXT($F280,"0.####")&amp;" "&amp;INDEX(Listas!$I$5:$I$25,MATCH($D280,Listas!$H$5:$H$25,0))),"⚠ revisar la unidad"))</f>
        <v/>
      </c>
      <c r="I280" s="15" t="str">
        <f aca="false">IF(OR($F280="",$G280="",$F280=0),"",$G280/$F280)</f>
        <v/>
      </c>
      <c r="J280" s="22"/>
      <c r="K280" s="22"/>
      <c r="L280" s="22"/>
      <c r="M280" s="22"/>
      <c r="N280" s="22"/>
      <c r="O280" s="22"/>
      <c r="P280" s="23"/>
    </row>
    <row r="281" customFormat="false" ht="15" hidden="false" customHeight="false" outlineLevel="0" collapsed="false">
      <c r="A281" s="18"/>
      <c r="B281" s="19"/>
      <c r="C281" s="19"/>
      <c r="D281" s="19"/>
      <c r="E281" s="19"/>
      <c r="F281" s="20"/>
      <c r="G281" s="21"/>
      <c r="H281" s="14" t="str">
        <f aca="false">IF(OR($A281="",$D281="",$E281="",$F281=""),"",IFERROR($A281&amp;" / "&amp;IF(AND($F281=1,$D281=$E281),INDEX(Listas!$I$5:$I$25,MATCH($E281,Listas!$H$5:$H$25,0)),INDEX(Listas!$I$5:$I$25,MATCH($E281,Listas!$H$5:$H$25,0))&amp;" X "&amp;TEXT($F281,"0.####")&amp;" "&amp;INDEX(Listas!$I$5:$I$25,MATCH($D281,Listas!$H$5:$H$25,0))),"⚠ revisar la unidad"))</f>
        <v/>
      </c>
      <c r="I281" s="15" t="str">
        <f aca="false">IF(OR($F281="",$G281="",$F281=0),"",$G281/$F281)</f>
        <v/>
      </c>
      <c r="J281" s="22"/>
      <c r="K281" s="22"/>
      <c r="L281" s="22"/>
      <c r="M281" s="22"/>
      <c r="N281" s="22"/>
      <c r="O281" s="22"/>
      <c r="P281" s="23"/>
    </row>
    <row r="282" customFormat="false" ht="15" hidden="false" customHeight="false" outlineLevel="0" collapsed="false">
      <c r="A282" s="18"/>
      <c r="B282" s="19"/>
      <c r="C282" s="19"/>
      <c r="D282" s="19"/>
      <c r="E282" s="19"/>
      <c r="F282" s="20"/>
      <c r="G282" s="21"/>
      <c r="H282" s="14" t="str">
        <f aca="false">IF(OR($A282="",$D282="",$E282="",$F282=""),"",IFERROR($A282&amp;" / "&amp;IF(AND($F282=1,$D282=$E282),INDEX(Listas!$I$5:$I$25,MATCH($E282,Listas!$H$5:$H$25,0)),INDEX(Listas!$I$5:$I$25,MATCH($E282,Listas!$H$5:$H$25,0))&amp;" X "&amp;TEXT($F282,"0.####")&amp;" "&amp;INDEX(Listas!$I$5:$I$25,MATCH($D282,Listas!$H$5:$H$25,0))),"⚠ revisar la unidad"))</f>
        <v/>
      </c>
      <c r="I282" s="15" t="str">
        <f aca="false">IF(OR($F282="",$G282="",$F282=0),"",$G282/$F282)</f>
        <v/>
      </c>
      <c r="J282" s="22"/>
      <c r="K282" s="22"/>
      <c r="L282" s="22"/>
      <c r="M282" s="22"/>
      <c r="N282" s="22"/>
      <c r="O282" s="22"/>
      <c r="P282" s="23"/>
    </row>
    <row r="283" customFormat="false" ht="15" hidden="false" customHeight="false" outlineLevel="0" collapsed="false">
      <c r="A283" s="18"/>
      <c r="B283" s="19"/>
      <c r="C283" s="19"/>
      <c r="D283" s="19"/>
      <c r="E283" s="19"/>
      <c r="F283" s="20"/>
      <c r="G283" s="21"/>
      <c r="H283" s="14" t="str">
        <f aca="false">IF(OR($A283="",$D283="",$E283="",$F283=""),"",IFERROR($A283&amp;" / "&amp;IF(AND($F283=1,$D283=$E283),INDEX(Listas!$I$5:$I$25,MATCH($E283,Listas!$H$5:$H$25,0)),INDEX(Listas!$I$5:$I$25,MATCH($E283,Listas!$H$5:$H$25,0))&amp;" X "&amp;TEXT($F283,"0.####")&amp;" "&amp;INDEX(Listas!$I$5:$I$25,MATCH($D283,Listas!$H$5:$H$25,0))),"⚠ revisar la unidad"))</f>
        <v/>
      </c>
      <c r="I283" s="15" t="str">
        <f aca="false">IF(OR($F283="",$G283="",$F283=0),"",$G283/$F283)</f>
        <v/>
      </c>
      <c r="J283" s="22"/>
      <c r="K283" s="22"/>
      <c r="L283" s="22"/>
      <c r="M283" s="22"/>
      <c r="N283" s="22"/>
      <c r="O283" s="22"/>
      <c r="P283" s="23"/>
    </row>
    <row r="284" customFormat="false" ht="15" hidden="false" customHeight="false" outlineLevel="0" collapsed="false">
      <c r="A284" s="18"/>
      <c r="B284" s="19"/>
      <c r="C284" s="19"/>
      <c r="D284" s="19"/>
      <c r="E284" s="19"/>
      <c r="F284" s="20"/>
      <c r="G284" s="21"/>
      <c r="H284" s="14" t="str">
        <f aca="false">IF(OR($A284="",$D284="",$E284="",$F284=""),"",IFERROR($A284&amp;" / "&amp;IF(AND($F284=1,$D284=$E284),INDEX(Listas!$I$5:$I$25,MATCH($E284,Listas!$H$5:$H$25,0)),INDEX(Listas!$I$5:$I$25,MATCH($E284,Listas!$H$5:$H$25,0))&amp;" X "&amp;TEXT($F284,"0.####")&amp;" "&amp;INDEX(Listas!$I$5:$I$25,MATCH($D284,Listas!$H$5:$H$25,0))),"⚠ revisar la unidad"))</f>
        <v/>
      </c>
      <c r="I284" s="15" t="str">
        <f aca="false">IF(OR($F284="",$G284="",$F284=0),"",$G284/$F284)</f>
        <v/>
      </c>
      <c r="J284" s="22"/>
      <c r="K284" s="22"/>
      <c r="L284" s="22"/>
      <c r="M284" s="22"/>
      <c r="N284" s="22"/>
      <c r="O284" s="22"/>
      <c r="P284" s="23"/>
    </row>
    <row r="285" customFormat="false" ht="15" hidden="false" customHeight="false" outlineLevel="0" collapsed="false">
      <c r="A285" s="18"/>
      <c r="B285" s="19"/>
      <c r="C285" s="19"/>
      <c r="D285" s="19"/>
      <c r="E285" s="19"/>
      <c r="F285" s="20"/>
      <c r="G285" s="21"/>
      <c r="H285" s="14" t="str">
        <f aca="false">IF(OR($A285="",$D285="",$E285="",$F285=""),"",IFERROR($A285&amp;" / "&amp;IF(AND($F285=1,$D285=$E285),INDEX(Listas!$I$5:$I$25,MATCH($E285,Listas!$H$5:$H$25,0)),INDEX(Listas!$I$5:$I$25,MATCH($E285,Listas!$H$5:$H$25,0))&amp;" X "&amp;TEXT($F285,"0.####")&amp;" "&amp;INDEX(Listas!$I$5:$I$25,MATCH($D285,Listas!$H$5:$H$25,0))),"⚠ revisar la unidad"))</f>
        <v/>
      </c>
      <c r="I285" s="15" t="str">
        <f aca="false">IF(OR($F285="",$G285="",$F285=0),"",$G285/$F285)</f>
        <v/>
      </c>
      <c r="J285" s="22"/>
      <c r="K285" s="22"/>
      <c r="L285" s="22"/>
      <c r="M285" s="22"/>
      <c r="N285" s="22"/>
      <c r="O285" s="22"/>
      <c r="P285" s="23"/>
    </row>
    <row r="286" customFormat="false" ht="15" hidden="false" customHeight="false" outlineLevel="0" collapsed="false">
      <c r="A286" s="18"/>
      <c r="B286" s="19"/>
      <c r="C286" s="19"/>
      <c r="D286" s="19"/>
      <c r="E286" s="19"/>
      <c r="F286" s="20"/>
      <c r="G286" s="21"/>
      <c r="H286" s="14" t="str">
        <f aca="false">IF(OR($A286="",$D286="",$E286="",$F286=""),"",IFERROR($A286&amp;" / "&amp;IF(AND($F286=1,$D286=$E286),INDEX(Listas!$I$5:$I$25,MATCH($E286,Listas!$H$5:$H$25,0)),INDEX(Listas!$I$5:$I$25,MATCH($E286,Listas!$H$5:$H$25,0))&amp;" X "&amp;TEXT($F286,"0.####")&amp;" "&amp;INDEX(Listas!$I$5:$I$25,MATCH($D286,Listas!$H$5:$H$25,0))),"⚠ revisar la unidad"))</f>
        <v/>
      </c>
      <c r="I286" s="15" t="str">
        <f aca="false">IF(OR($F286="",$G286="",$F286=0),"",$G286/$F286)</f>
        <v/>
      </c>
      <c r="J286" s="22"/>
      <c r="K286" s="22"/>
      <c r="L286" s="22"/>
      <c r="M286" s="22"/>
      <c r="N286" s="22"/>
      <c r="O286" s="22"/>
      <c r="P286" s="23"/>
    </row>
    <row r="287" customFormat="false" ht="15" hidden="false" customHeight="false" outlineLevel="0" collapsed="false">
      <c r="A287" s="18"/>
      <c r="B287" s="19"/>
      <c r="C287" s="19"/>
      <c r="D287" s="19"/>
      <c r="E287" s="19"/>
      <c r="F287" s="20"/>
      <c r="G287" s="21"/>
      <c r="H287" s="14" t="str">
        <f aca="false">IF(OR($A287="",$D287="",$E287="",$F287=""),"",IFERROR($A287&amp;" / "&amp;IF(AND($F287=1,$D287=$E287),INDEX(Listas!$I$5:$I$25,MATCH($E287,Listas!$H$5:$H$25,0)),INDEX(Listas!$I$5:$I$25,MATCH($E287,Listas!$H$5:$H$25,0))&amp;" X "&amp;TEXT($F287,"0.####")&amp;" "&amp;INDEX(Listas!$I$5:$I$25,MATCH($D287,Listas!$H$5:$H$25,0))),"⚠ revisar la unidad"))</f>
        <v/>
      </c>
      <c r="I287" s="15" t="str">
        <f aca="false">IF(OR($F287="",$G287="",$F287=0),"",$G287/$F287)</f>
        <v/>
      </c>
      <c r="J287" s="22"/>
      <c r="K287" s="22"/>
      <c r="L287" s="22"/>
      <c r="M287" s="22"/>
      <c r="N287" s="22"/>
      <c r="O287" s="22"/>
      <c r="P287" s="23"/>
    </row>
    <row r="288" customFormat="false" ht="15" hidden="false" customHeight="false" outlineLevel="0" collapsed="false">
      <c r="A288" s="18"/>
      <c r="B288" s="19"/>
      <c r="C288" s="19"/>
      <c r="D288" s="19"/>
      <c r="E288" s="19"/>
      <c r="F288" s="20"/>
      <c r="G288" s="21"/>
      <c r="H288" s="14" t="str">
        <f aca="false">IF(OR($A288="",$D288="",$E288="",$F288=""),"",IFERROR($A288&amp;" / "&amp;IF(AND($F288=1,$D288=$E288),INDEX(Listas!$I$5:$I$25,MATCH($E288,Listas!$H$5:$H$25,0)),INDEX(Listas!$I$5:$I$25,MATCH($E288,Listas!$H$5:$H$25,0))&amp;" X "&amp;TEXT($F288,"0.####")&amp;" "&amp;INDEX(Listas!$I$5:$I$25,MATCH($D288,Listas!$H$5:$H$25,0))),"⚠ revisar la unidad"))</f>
        <v/>
      </c>
      <c r="I288" s="15" t="str">
        <f aca="false">IF(OR($F288="",$G288="",$F288=0),"",$G288/$F288)</f>
        <v/>
      </c>
      <c r="J288" s="22"/>
      <c r="K288" s="22"/>
      <c r="L288" s="22"/>
      <c r="M288" s="22"/>
      <c r="N288" s="22"/>
      <c r="O288" s="22"/>
      <c r="P288" s="23"/>
    </row>
    <row r="289" customFormat="false" ht="15" hidden="false" customHeight="false" outlineLevel="0" collapsed="false">
      <c r="A289" s="18"/>
      <c r="B289" s="19"/>
      <c r="C289" s="19"/>
      <c r="D289" s="19"/>
      <c r="E289" s="19"/>
      <c r="F289" s="20"/>
      <c r="G289" s="21"/>
      <c r="H289" s="14" t="str">
        <f aca="false">IF(OR($A289="",$D289="",$E289="",$F289=""),"",IFERROR($A289&amp;" / "&amp;IF(AND($F289=1,$D289=$E289),INDEX(Listas!$I$5:$I$25,MATCH($E289,Listas!$H$5:$H$25,0)),INDEX(Listas!$I$5:$I$25,MATCH($E289,Listas!$H$5:$H$25,0))&amp;" X "&amp;TEXT($F289,"0.####")&amp;" "&amp;INDEX(Listas!$I$5:$I$25,MATCH($D289,Listas!$H$5:$H$25,0))),"⚠ revisar la unidad"))</f>
        <v/>
      </c>
      <c r="I289" s="15" t="str">
        <f aca="false">IF(OR($F289="",$G289="",$F289=0),"",$G289/$F289)</f>
        <v/>
      </c>
      <c r="J289" s="22"/>
      <c r="K289" s="22"/>
      <c r="L289" s="22"/>
      <c r="M289" s="22"/>
      <c r="N289" s="22"/>
      <c r="O289" s="22"/>
      <c r="P289" s="23"/>
    </row>
    <row r="290" customFormat="false" ht="15" hidden="false" customHeight="false" outlineLevel="0" collapsed="false">
      <c r="A290" s="18"/>
      <c r="B290" s="19"/>
      <c r="C290" s="19"/>
      <c r="D290" s="19"/>
      <c r="E290" s="19"/>
      <c r="F290" s="20"/>
      <c r="G290" s="21"/>
      <c r="H290" s="14" t="str">
        <f aca="false">IF(OR($A290="",$D290="",$E290="",$F290=""),"",IFERROR($A290&amp;" / "&amp;IF(AND($F290=1,$D290=$E290),INDEX(Listas!$I$5:$I$25,MATCH($E290,Listas!$H$5:$H$25,0)),INDEX(Listas!$I$5:$I$25,MATCH($E290,Listas!$H$5:$H$25,0))&amp;" X "&amp;TEXT($F290,"0.####")&amp;" "&amp;INDEX(Listas!$I$5:$I$25,MATCH($D290,Listas!$H$5:$H$25,0))),"⚠ revisar la unidad"))</f>
        <v/>
      </c>
      <c r="I290" s="15" t="str">
        <f aca="false">IF(OR($F290="",$G290="",$F290=0),"",$G290/$F290)</f>
        <v/>
      </c>
      <c r="J290" s="22"/>
      <c r="K290" s="22"/>
      <c r="L290" s="22"/>
      <c r="M290" s="22"/>
      <c r="N290" s="22"/>
      <c r="O290" s="22"/>
      <c r="P290" s="23"/>
    </row>
    <row r="291" customFormat="false" ht="15" hidden="false" customHeight="false" outlineLevel="0" collapsed="false">
      <c r="A291" s="18"/>
      <c r="B291" s="19"/>
      <c r="C291" s="19"/>
      <c r="D291" s="19"/>
      <c r="E291" s="19"/>
      <c r="F291" s="20"/>
      <c r="G291" s="21"/>
      <c r="H291" s="14" t="str">
        <f aca="false">IF(OR($A291="",$D291="",$E291="",$F291=""),"",IFERROR($A291&amp;" / "&amp;IF(AND($F291=1,$D291=$E291),INDEX(Listas!$I$5:$I$25,MATCH($E291,Listas!$H$5:$H$25,0)),INDEX(Listas!$I$5:$I$25,MATCH($E291,Listas!$H$5:$H$25,0))&amp;" X "&amp;TEXT($F291,"0.####")&amp;" "&amp;INDEX(Listas!$I$5:$I$25,MATCH($D291,Listas!$H$5:$H$25,0))),"⚠ revisar la unidad"))</f>
        <v/>
      </c>
      <c r="I291" s="15" t="str">
        <f aca="false">IF(OR($F291="",$G291="",$F291=0),"",$G291/$F291)</f>
        <v/>
      </c>
      <c r="J291" s="22"/>
      <c r="K291" s="22"/>
      <c r="L291" s="22"/>
      <c r="M291" s="22"/>
      <c r="N291" s="22"/>
      <c r="O291" s="22"/>
      <c r="P291" s="23"/>
    </row>
    <row r="292" customFormat="false" ht="15" hidden="false" customHeight="false" outlineLevel="0" collapsed="false">
      <c r="A292" s="18"/>
      <c r="B292" s="19"/>
      <c r="C292" s="19"/>
      <c r="D292" s="19"/>
      <c r="E292" s="19"/>
      <c r="F292" s="20"/>
      <c r="G292" s="21"/>
      <c r="H292" s="14" t="str">
        <f aca="false">IF(OR($A292="",$D292="",$E292="",$F292=""),"",IFERROR($A292&amp;" / "&amp;IF(AND($F292=1,$D292=$E292),INDEX(Listas!$I$5:$I$25,MATCH($E292,Listas!$H$5:$H$25,0)),INDEX(Listas!$I$5:$I$25,MATCH($E292,Listas!$H$5:$H$25,0))&amp;" X "&amp;TEXT($F292,"0.####")&amp;" "&amp;INDEX(Listas!$I$5:$I$25,MATCH($D292,Listas!$H$5:$H$25,0))),"⚠ revisar la unidad"))</f>
        <v/>
      </c>
      <c r="I292" s="15" t="str">
        <f aca="false">IF(OR($F292="",$G292="",$F292=0),"",$G292/$F292)</f>
        <v/>
      </c>
      <c r="J292" s="22"/>
      <c r="K292" s="22"/>
      <c r="L292" s="22"/>
      <c r="M292" s="22"/>
      <c r="N292" s="22"/>
      <c r="O292" s="22"/>
      <c r="P292" s="23"/>
    </row>
    <row r="293" customFormat="false" ht="15" hidden="false" customHeight="false" outlineLevel="0" collapsed="false">
      <c r="A293" s="18"/>
      <c r="B293" s="19"/>
      <c r="C293" s="19"/>
      <c r="D293" s="19"/>
      <c r="E293" s="19"/>
      <c r="F293" s="20"/>
      <c r="G293" s="21"/>
      <c r="H293" s="14" t="str">
        <f aca="false">IF(OR($A293="",$D293="",$E293="",$F293=""),"",IFERROR($A293&amp;" / "&amp;IF(AND($F293=1,$D293=$E293),INDEX(Listas!$I$5:$I$25,MATCH($E293,Listas!$H$5:$H$25,0)),INDEX(Listas!$I$5:$I$25,MATCH($E293,Listas!$H$5:$H$25,0))&amp;" X "&amp;TEXT($F293,"0.####")&amp;" "&amp;INDEX(Listas!$I$5:$I$25,MATCH($D293,Listas!$H$5:$H$25,0))),"⚠ revisar la unidad"))</f>
        <v/>
      </c>
      <c r="I293" s="15" t="str">
        <f aca="false">IF(OR($F293="",$G293="",$F293=0),"",$G293/$F293)</f>
        <v/>
      </c>
      <c r="J293" s="22"/>
      <c r="K293" s="22"/>
      <c r="L293" s="22"/>
      <c r="M293" s="22"/>
      <c r="N293" s="22"/>
      <c r="O293" s="22"/>
      <c r="P293" s="23"/>
    </row>
    <row r="294" customFormat="false" ht="15" hidden="false" customHeight="false" outlineLevel="0" collapsed="false">
      <c r="A294" s="18"/>
      <c r="B294" s="19"/>
      <c r="C294" s="19"/>
      <c r="D294" s="19"/>
      <c r="E294" s="19"/>
      <c r="F294" s="20"/>
      <c r="G294" s="21"/>
      <c r="H294" s="14" t="str">
        <f aca="false">IF(OR($A294="",$D294="",$E294="",$F294=""),"",IFERROR($A294&amp;" / "&amp;IF(AND($F294=1,$D294=$E294),INDEX(Listas!$I$5:$I$25,MATCH($E294,Listas!$H$5:$H$25,0)),INDEX(Listas!$I$5:$I$25,MATCH($E294,Listas!$H$5:$H$25,0))&amp;" X "&amp;TEXT($F294,"0.####")&amp;" "&amp;INDEX(Listas!$I$5:$I$25,MATCH($D294,Listas!$H$5:$H$25,0))),"⚠ revisar la unidad"))</f>
        <v/>
      </c>
      <c r="I294" s="15" t="str">
        <f aca="false">IF(OR($F294="",$G294="",$F294=0),"",$G294/$F294)</f>
        <v/>
      </c>
      <c r="J294" s="22"/>
      <c r="K294" s="22"/>
      <c r="L294" s="22"/>
      <c r="M294" s="22"/>
      <c r="N294" s="22"/>
      <c r="O294" s="22"/>
      <c r="P294" s="23"/>
    </row>
    <row r="295" customFormat="false" ht="15" hidden="false" customHeight="false" outlineLevel="0" collapsed="false">
      <c r="A295" s="18"/>
      <c r="B295" s="19"/>
      <c r="C295" s="19"/>
      <c r="D295" s="19"/>
      <c r="E295" s="19"/>
      <c r="F295" s="20"/>
      <c r="G295" s="21"/>
      <c r="H295" s="14" t="str">
        <f aca="false">IF(OR($A295="",$D295="",$E295="",$F295=""),"",IFERROR($A295&amp;" / "&amp;IF(AND($F295=1,$D295=$E295),INDEX(Listas!$I$5:$I$25,MATCH($E295,Listas!$H$5:$H$25,0)),INDEX(Listas!$I$5:$I$25,MATCH($E295,Listas!$H$5:$H$25,0))&amp;" X "&amp;TEXT($F295,"0.####")&amp;" "&amp;INDEX(Listas!$I$5:$I$25,MATCH($D295,Listas!$H$5:$H$25,0))),"⚠ revisar la unidad"))</f>
        <v/>
      </c>
      <c r="I295" s="15" t="str">
        <f aca="false">IF(OR($F295="",$G295="",$F295=0),"",$G295/$F295)</f>
        <v/>
      </c>
      <c r="J295" s="22"/>
      <c r="K295" s="22"/>
      <c r="L295" s="22"/>
      <c r="M295" s="22"/>
      <c r="N295" s="22"/>
      <c r="O295" s="22"/>
      <c r="P295" s="23"/>
    </row>
    <row r="296" customFormat="false" ht="15" hidden="false" customHeight="false" outlineLevel="0" collapsed="false">
      <c r="A296" s="18"/>
      <c r="B296" s="19"/>
      <c r="C296" s="19"/>
      <c r="D296" s="19"/>
      <c r="E296" s="19"/>
      <c r="F296" s="20"/>
      <c r="G296" s="21"/>
      <c r="H296" s="14" t="str">
        <f aca="false">IF(OR($A296="",$D296="",$E296="",$F296=""),"",IFERROR($A296&amp;" / "&amp;IF(AND($F296=1,$D296=$E296),INDEX(Listas!$I$5:$I$25,MATCH($E296,Listas!$H$5:$H$25,0)),INDEX(Listas!$I$5:$I$25,MATCH($E296,Listas!$H$5:$H$25,0))&amp;" X "&amp;TEXT($F296,"0.####")&amp;" "&amp;INDEX(Listas!$I$5:$I$25,MATCH($D296,Listas!$H$5:$H$25,0))),"⚠ revisar la unidad"))</f>
        <v/>
      </c>
      <c r="I296" s="15" t="str">
        <f aca="false">IF(OR($F296="",$G296="",$F296=0),"",$G296/$F296)</f>
        <v/>
      </c>
      <c r="J296" s="22"/>
      <c r="K296" s="22"/>
      <c r="L296" s="22"/>
      <c r="M296" s="22"/>
      <c r="N296" s="22"/>
      <c r="O296" s="22"/>
      <c r="P296" s="23"/>
    </row>
    <row r="297" customFormat="false" ht="15" hidden="false" customHeight="false" outlineLevel="0" collapsed="false">
      <c r="A297" s="18"/>
      <c r="B297" s="19"/>
      <c r="C297" s="19"/>
      <c r="D297" s="19"/>
      <c r="E297" s="19"/>
      <c r="F297" s="20"/>
      <c r="G297" s="21"/>
      <c r="H297" s="14" t="str">
        <f aca="false">IF(OR($A297="",$D297="",$E297="",$F297=""),"",IFERROR($A297&amp;" / "&amp;IF(AND($F297=1,$D297=$E297),INDEX(Listas!$I$5:$I$25,MATCH($E297,Listas!$H$5:$H$25,0)),INDEX(Listas!$I$5:$I$25,MATCH($E297,Listas!$H$5:$H$25,0))&amp;" X "&amp;TEXT($F297,"0.####")&amp;" "&amp;INDEX(Listas!$I$5:$I$25,MATCH($D297,Listas!$H$5:$H$25,0))),"⚠ revisar la unidad"))</f>
        <v/>
      </c>
      <c r="I297" s="15" t="str">
        <f aca="false">IF(OR($F297="",$G297="",$F297=0),"",$G297/$F297)</f>
        <v/>
      </c>
      <c r="J297" s="22"/>
      <c r="K297" s="22"/>
      <c r="L297" s="22"/>
      <c r="M297" s="22"/>
      <c r="N297" s="22"/>
      <c r="O297" s="22"/>
      <c r="P297" s="23"/>
    </row>
    <row r="298" customFormat="false" ht="15" hidden="false" customHeight="false" outlineLevel="0" collapsed="false">
      <c r="A298" s="18"/>
      <c r="B298" s="19"/>
      <c r="C298" s="19"/>
      <c r="D298" s="19"/>
      <c r="E298" s="19"/>
      <c r="F298" s="20"/>
      <c r="G298" s="21"/>
      <c r="H298" s="14" t="str">
        <f aca="false">IF(OR($A298="",$D298="",$E298="",$F298=""),"",IFERROR($A298&amp;" / "&amp;IF(AND($F298=1,$D298=$E298),INDEX(Listas!$I$5:$I$25,MATCH($E298,Listas!$H$5:$H$25,0)),INDEX(Listas!$I$5:$I$25,MATCH($E298,Listas!$H$5:$H$25,0))&amp;" X "&amp;TEXT($F298,"0.####")&amp;" "&amp;INDEX(Listas!$I$5:$I$25,MATCH($D298,Listas!$H$5:$H$25,0))),"⚠ revisar la unidad"))</f>
        <v/>
      </c>
      <c r="I298" s="15" t="str">
        <f aca="false">IF(OR($F298="",$G298="",$F298=0),"",$G298/$F298)</f>
        <v/>
      </c>
      <c r="J298" s="22"/>
      <c r="K298" s="22"/>
      <c r="L298" s="22"/>
      <c r="M298" s="22"/>
      <c r="N298" s="22"/>
      <c r="O298" s="22"/>
      <c r="P298" s="23"/>
    </row>
    <row r="299" customFormat="false" ht="15" hidden="false" customHeight="false" outlineLevel="0" collapsed="false">
      <c r="A299" s="18"/>
      <c r="B299" s="19"/>
      <c r="C299" s="19"/>
      <c r="D299" s="19"/>
      <c r="E299" s="19"/>
      <c r="F299" s="20"/>
      <c r="G299" s="21"/>
      <c r="H299" s="14" t="str">
        <f aca="false">IF(OR($A299="",$D299="",$E299="",$F299=""),"",IFERROR($A299&amp;" / "&amp;IF(AND($F299=1,$D299=$E299),INDEX(Listas!$I$5:$I$25,MATCH($E299,Listas!$H$5:$H$25,0)),INDEX(Listas!$I$5:$I$25,MATCH($E299,Listas!$H$5:$H$25,0))&amp;" X "&amp;TEXT($F299,"0.####")&amp;" "&amp;INDEX(Listas!$I$5:$I$25,MATCH($D299,Listas!$H$5:$H$25,0))),"⚠ revisar la unidad"))</f>
        <v/>
      </c>
      <c r="I299" s="15" t="str">
        <f aca="false">IF(OR($F299="",$G299="",$F299=0),"",$G299/$F299)</f>
        <v/>
      </c>
      <c r="J299" s="22"/>
      <c r="K299" s="22"/>
      <c r="L299" s="22"/>
      <c r="M299" s="22"/>
      <c r="N299" s="22"/>
      <c r="O299" s="22"/>
      <c r="P299" s="23"/>
    </row>
    <row r="300" customFormat="false" ht="15" hidden="false" customHeight="false" outlineLevel="0" collapsed="false">
      <c r="A300" s="18"/>
      <c r="B300" s="19"/>
      <c r="C300" s="19"/>
      <c r="D300" s="19"/>
      <c r="E300" s="19"/>
      <c r="F300" s="20"/>
      <c r="G300" s="21"/>
      <c r="H300" s="14" t="str">
        <f aca="false">IF(OR($A300="",$D300="",$E300="",$F300=""),"",IFERROR($A300&amp;" / "&amp;IF(AND($F300=1,$D300=$E300),INDEX(Listas!$I$5:$I$25,MATCH($E300,Listas!$H$5:$H$25,0)),INDEX(Listas!$I$5:$I$25,MATCH($E300,Listas!$H$5:$H$25,0))&amp;" X "&amp;TEXT($F300,"0.####")&amp;" "&amp;INDEX(Listas!$I$5:$I$25,MATCH($D300,Listas!$H$5:$H$25,0))),"⚠ revisar la unidad"))</f>
        <v/>
      </c>
      <c r="I300" s="15" t="str">
        <f aca="false">IF(OR($F300="",$G300="",$F300=0),"",$G300/$F300)</f>
        <v/>
      </c>
      <c r="J300" s="22"/>
      <c r="K300" s="22"/>
      <c r="L300" s="22"/>
      <c r="M300" s="22"/>
      <c r="N300" s="22"/>
      <c r="O300" s="22"/>
      <c r="P300" s="23"/>
    </row>
    <row r="301" customFormat="false" ht="15" hidden="false" customHeight="false" outlineLevel="0" collapsed="false">
      <c r="A301" s="18"/>
      <c r="B301" s="19"/>
      <c r="C301" s="19"/>
      <c r="D301" s="19"/>
      <c r="E301" s="19"/>
      <c r="F301" s="20"/>
      <c r="G301" s="21"/>
      <c r="H301" s="14" t="str">
        <f aca="false">IF(OR($A301="",$D301="",$E301="",$F301=""),"",IFERROR($A301&amp;" / "&amp;IF(AND($F301=1,$D301=$E301),INDEX(Listas!$I$5:$I$25,MATCH($E301,Listas!$H$5:$H$25,0)),INDEX(Listas!$I$5:$I$25,MATCH($E301,Listas!$H$5:$H$25,0))&amp;" X "&amp;TEXT($F301,"0.####")&amp;" "&amp;INDEX(Listas!$I$5:$I$25,MATCH($D301,Listas!$H$5:$H$25,0))),"⚠ revisar la unidad"))</f>
        <v/>
      </c>
      <c r="I301" s="15" t="str">
        <f aca="false">IF(OR($F301="",$G301="",$F301=0),"",$G301/$F301)</f>
        <v/>
      </c>
      <c r="J301" s="22"/>
      <c r="K301" s="22"/>
      <c r="L301" s="22"/>
      <c r="M301" s="22"/>
      <c r="N301" s="22"/>
      <c r="O301" s="22"/>
      <c r="P301" s="23"/>
    </row>
    <row r="302" customFormat="false" ht="15" hidden="false" customHeight="false" outlineLevel="0" collapsed="false">
      <c r="A302" s="18"/>
      <c r="B302" s="19"/>
      <c r="C302" s="19"/>
      <c r="D302" s="19"/>
      <c r="E302" s="19"/>
      <c r="F302" s="20"/>
      <c r="G302" s="21"/>
      <c r="H302" s="14" t="str">
        <f aca="false">IF(OR($A302="",$D302="",$E302="",$F302=""),"",IFERROR($A302&amp;" / "&amp;IF(AND($F302=1,$D302=$E302),INDEX(Listas!$I$5:$I$25,MATCH($E302,Listas!$H$5:$H$25,0)),INDEX(Listas!$I$5:$I$25,MATCH($E302,Listas!$H$5:$H$25,0))&amp;" X "&amp;TEXT($F302,"0.####")&amp;" "&amp;INDEX(Listas!$I$5:$I$25,MATCH($D302,Listas!$H$5:$H$25,0))),"⚠ revisar la unidad"))</f>
        <v/>
      </c>
      <c r="I302" s="15" t="str">
        <f aca="false">IF(OR($F302="",$G302="",$F302=0),"",$G302/$F302)</f>
        <v/>
      </c>
      <c r="J302" s="22"/>
      <c r="K302" s="22"/>
      <c r="L302" s="22"/>
      <c r="M302" s="22"/>
      <c r="N302" s="22"/>
      <c r="O302" s="22"/>
      <c r="P302" s="23"/>
    </row>
    <row r="303" customFormat="false" ht="15" hidden="false" customHeight="false" outlineLevel="0" collapsed="false">
      <c r="A303" s="18"/>
      <c r="B303" s="19"/>
      <c r="C303" s="19"/>
      <c r="D303" s="19"/>
      <c r="E303" s="19"/>
      <c r="F303" s="20"/>
      <c r="G303" s="21"/>
      <c r="H303" s="14" t="str">
        <f aca="false">IF(OR($A303="",$D303="",$E303="",$F303=""),"",IFERROR($A303&amp;" / "&amp;IF(AND($F303=1,$D303=$E303),INDEX(Listas!$I$5:$I$25,MATCH($E303,Listas!$H$5:$H$25,0)),INDEX(Listas!$I$5:$I$25,MATCH($E303,Listas!$H$5:$H$25,0))&amp;" X "&amp;TEXT($F303,"0.####")&amp;" "&amp;INDEX(Listas!$I$5:$I$25,MATCH($D303,Listas!$H$5:$H$25,0))),"⚠ revisar la unidad"))</f>
        <v/>
      </c>
      <c r="I303" s="15" t="str">
        <f aca="false">IF(OR($F303="",$G303="",$F303=0),"",$G303/$F303)</f>
        <v/>
      </c>
      <c r="J303" s="22"/>
      <c r="K303" s="22"/>
      <c r="L303" s="22"/>
      <c r="M303" s="22"/>
      <c r="N303" s="22"/>
      <c r="O303" s="22"/>
      <c r="P303" s="23"/>
    </row>
    <row r="304" customFormat="false" ht="15" hidden="false" customHeight="false" outlineLevel="0" collapsed="false">
      <c r="A304" s="18"/>
      <c r="B304" s="19"/>
      <c r="C304" s="19"/>
      <c r="D304" s="19"/>
      <c r="E304" s="19"/>
      <c r="F304" s="20"/>
      <c r="G304" s="21"/>
      <c r="H304" s="14" t="str">
        <f aca="false">IF(OR($A304="",$D304="",$E304="",$F304=""),"",IFERROR($A304&amp;" / "&amp;IF(AND($F304=1,$D304=$E304),INDEX(Listas!$I$5:$I$25,MATCH($E304,Listas!$H$5:$H$25,0)),INDEX(Listas!$I$5:$I$25,MATCH($E304,Listas!$H$5:$H$25,0))&amp;" X "&amp;TEXT($F304,"0.####")&amp;" "&amp;INDEX(Listas!$I$5:$I$25,MATCH($D304,Listas!$H$5:$H$25,0))),"⚠ revisar la unidad"))</f>
        <v/>
      </c>
      <c r="I304" s="15" t="str">
        <f aca="false">IF(OR($F304="",$G304="",$F304=0),"",$G304/$F304)</f>
        <v/>
      </c>
      <c r="J304" s="22"/>
      <c r="K304" s="22"/>
      <c r="L304" s="22"/>
      <c r="M304" s="22"/>
      <c r="N304" s="22"/>
      <c r="O304" s="22"/>
      <c r="P304" s="23"/>
    </row>
    <row r="305" customFormat="false" ht="15" hidden="false" customHeight="false" outlineLevel="0" collapsed="false">
      <c r="A305" s="18"/>
      <c r="B305" s="19"/>
      <c r="C305" s="19"/>
      <c r="D305" s="19"/>
      <c r="E305" s="19"/>
      <c r="F305" s="20"/>
      <c r="G305" s="21"/>
      <c r="H305" s="14" t="str">
        <f aca="false">IF(OR($A305="",$D305="",$E305="",$F305=""),"",IFERROR($A305&amp;" / "&amp;IF(AND($F305=1,$D305=$E305),INDEX(Listas!$I$5:$I$25,MATCH($E305,Listas!$H$5:$H$25,0)),INDEX(Listas!$I$5:$I$25,MATCH($E305,Listas!$H$5:$H$25,0))&amp;" X "&amp;TEXT($F305,"0.####")&amp;" "&amp;INDEX(Listas!$I$5:$I$25,MATCH($D305,Listas!$H$5:$H$25,0))),"⚠ revisar la unidad"))</f>
        <v/>
      </c>
      <c r="I305" s="15" t="str">
        <f aca="false">IF(OR($F305="",$G305="",$F305=0),"",$G305/$F305)</f>
        <v/>
      </c>
      <c r="J305" s="22"/>
      <c r="K305" s="22"/>
      <c r="L305" s="22"/>
      <c r="M305" s="22"/>
      <c r="N305" s="22"/>
      <c r="O305" s="22"/>
      <c r="P305" s="23"/>
    </row>
    <row r="306" customFormat="false" ht="15" hidden="false" customHeight="false" outlineLevel="0" collapsed="false">
      <c r="A306" s="18"/>
      <c r="B306" s="19"/>
      <c r="C306" s="19"/>
      <c r="D306" s="19"/>
      <c r="E306" s="19"/>
      <c r="F306" s="20"/>
      <c r="G306" s="21"/>
      <c r="H306" s="14" t="str">
        <f aca="false">IF(OR($A306="",$D306="",$E306="",$F306=""),"",IFERROR($A306&amp;" / "&amp;IF(AND($F306=1,$D306=$E306),INDEX(Listas!$I$5:$I$25,MATCH($E306,Listas!$H$5:$H$25,0)),INDEX(Listas!$I$5:$I$25,MATCH($E306,Listas!$H$5:$H$25,0))&amp;" X "&amp;TEXT($F306,"0.####")&amp;" "&amp;INDEX(Listas!$I$5:$I$25,MATCH($D306,Listas!$H$5:$H$25,0))),"⚠ revisar la unidad"))</f>
        <v/>
      </c>
      <c r="I306" s="15" t="str">
        <f aca="false">IF(OR($F306="",$G306="",$F306=0),"",$G306/$F306)</f>
        <v/>
      </c>
      <c r="J306" s="22"/>
      <c r="K306" s="22"/>
      <c r="L306" s="22"/>
      <c r="M306" s="22"/>
      <c r="N306" s="22"/>
      <c r="O306" s="22"/>
      <c r="P306" s="23"/>
    </row>
    <row r="307" customFormat="false" ht="15" hidden="false" customHeight="false" outlineLevel="0" collapsed="false">
      <c r="A307" s="18"/>
      <c r="B307" s="19"/>
      <c r="C307" s="19"/>
      <c r="D307" s="19"/>
      <c r="E307" s="19"/>
      <c r="F307" s="20"/>
      <c r="G307" s="21"/>
      <c r="H307" s="14" t="str">
        <f aca="false">IF(OR($A307="",$D307="",$E307="",$F307=""),"",IFERROR($A307&amp;" / "&amp;IF(AND($F307=1,$D307=$E307),INDEX(Listas!$I$5:$I$25,MATCH($E307,Listas!$H$5:$H$25,0)),INDEX(Listas!$I$5:$I$25,MATCH($E307,Listas!$H$5:$H$25,0))&amp;" X "&amp;TEXT($F307,"0.####")&amp;" "&amp;INDEX(Listas!$I$5:$I$25,MATCH($D307,Listas!$H$5:$H$25,0))),"⚠ revisar la unidad"))</f>
        <v/>
      </c>
      <c r="I307" s="15" t="str">
        <f aca="false">IF(OR($F307="",$G307="",$F307=0),"",$G307/$F307)</f>
        <v/>
      </c>
      <c r="J307" s="22"/>
      <c r="K307" s="22"/>
      <c r="L307" s="22"/>
      <c r="M307" s="22"/>
      <c r="N307" s="22"/>
      <c r="O307" s="22"/>
      <c r="P307" s="23"/>
    </row>
    <row r="308" customFormat="false" ht="15" hidden="false" customHeight="false" outlineLevel="0" collapsed="false">
      <c r="A308" s="18"/>
      <c r="B308" s="19"/>
      <c r="C308" s="19"/>
      <c r="D308" s="19"/>
      <c r="E308" s="19"/>
      <c r="F308" s="20"/>
      <c r="G308" s="21"/>
      <c r="H308" s="14" t="str">
        <f aca="false">IF(OR($A308="",$D308="",$E308="",$F308=""),"",IFERROR($A308&amp;" / "&amp;IF(AND($F308=1,$D308=$E308),INDEX(Listas!$I$5:$I$25,MATCH($E308,Listas!$H$5:$H$25,0)),INDEX(Listas!$I$5:$I$25,MATCH($E308,Listas!$H$5:$H$25,0))&amp;" X "&amp;TEXT($F308,"0.####")&amp;" "&amp;INDEX(Listas!$I$5:$I$25,MATCH($D308,Listas!$H$5:$H$25,0))),"⚠ revisar la unidad"))</f>
        <v/>
      </c>
      <c r="I308" s="15" t="str">
        <f aca="false">IF(OR($F308="",$G308="",$F308=0),"",$G308/$F308)</f>
        <v/>
      </c>
      <c r="J308" s="22"/>
      <c r="K308" s="22"/>
      <c r="L308" s="22"/>
      <c r="M308" s="22"/>
      <c r="N308" s="22"/>
      <c r="O308" s="22"/>
      <c r="P308" s="23"/>
    </row>
    <row r="309" customFormat="false" ht="15" hidden="false" customHeight="false" outlineLevel="0" collapsed="false">
      <c r="A309" s="18"/>
      <c r="B309" s="19"/>
      <c r="C309" s="19"/>
      <c r="D309" s="19"/>
      <c r="E309" s="19"/>
      <c r="F309" s="20"/>
      <c r="G309" s="21"/>
      <c r="H309" s="14" t="str">
        <f aca="false">IF(OR($A309="",$D309="",$E309="",$F309=""),"",IFERROR($A309&amp;" / "&amp;IF(AND($F309=1,$D309=$E309),INDEX(Listas!$I$5:$I$25,MATCH($E309,Listas!$H$5:$H$25,0)),INDEX(Listas!$I$5:$I$25,MATCH($E309,Listas!$H$5:$H$25,0))&amp;" X "&amp;TEXT($F309,"0.####")&amp;" "&amp;INDEX(Listas!$I$5:$I$25,MATCH($D309,Listas!$H$5:$H$25,0))),"⚠ revisar la unidad"))</f>
        <v/>
      </c>
      <c r="I309" s="15" t="str">
        <f aca="false">IF(OR($F309="",$G309="",$F309=0),"",$G309/$F309)</f>
        <v/>
      </c>
      <c r="J309" s="22"/>
      <c r="K309" s="22"/>
      <c r="L309" s="22"/>
      <c r="M309" s="22"/>
      <c r="N309" s="22"/>
      <c r="O309" s="22"/>
      <c r="P309" s="23"/>
    </row>
    <row r="310" customFormat="false" ht="15" hidden="false" customHeight="false" outlineLevel="0" collapsed="false">
      <c r="A310" s="18"/>
      <c r="B310" s="19"/>
      <c r="C310" s="19"/>
      <c r="D310" s="19"/>
      <c r="E310" s="19"/>
      <c r="F310" s="20"/>
      <c r="G310" s="21"/>
      <c r="H310" s="14" t="str">
        <f aca="false">IF(OR($A310="",$D310="",$E310="",$F310=""),"",IFERROR($A310&amp;" / "&amp;IF(AND($F310=1,$D310=$E310),INDEX(Listas!$I$5:$I$25,MATCH($E310,Listas!$H$5:$H$25,0)),INDEX(Listas!$I$5:$I$25,MATCH($E310,Listas!$H$5:$H$25,0))&amp;" X "&amp;TEXT($F310,"0.####")&amp;" "&amp;INDEX(Listas!$I$5:$I$25,MATCH($D310,Listas!$H$5:$H$25,0))),"⚠ revisar la unidad"))</f>
        <v/>
      </c>
      <c r="I310" s="15" t="str">
        <f aca="false">IF(OR($F310="",$G310="",$F310=0),"",$G310/$F310)</f>
        <v/>
      </c>
      <c r="J310" s="22"/>
      <c r="K310" s="22"/>
      <c r="L310" s="22"/>
      <c r="M310" s="22"/>
      <c r="N310" s="22"/>
      <c r="O310" s="22"/>
      <c r="P310" s="23"/>
    </row>
    <row r="311" customFormat="false" ht="15" hidden="false" customHeight="false" outlineLevel="0" collapsed="false">
      <c r="A311" s="18"/>
      <c r="B311" s="19"/>
      <c r="C311" s="19"/>
      <c r="D311" s="19"/>
      <c r="E311" s="19"/>
      <c r="F311" s="20"/>
      <c r="G311" s="21"/>
      <c r="H311" s="14" t="str">
        <f aca="false">IF(OR($A311="",$D311="",$E311="",$F311=""),"",IFERROR($A311&amp;" / "&amp;IF(AND($F311=1,$D311=$E311),INDEX(Listas!$I$5:$I$25,MATCH($E311,Listas!$H$5:$H$25,0)),INDEX(Listas!$I$5:$I$25,MATCH($E311,Listas!$H$5:$H$25,0))&amp;" X "&amp;TEXT($F311,"0.####")&amp;" "&amp;INDEX(Listas!$I$5:$I$25,MATCH($D311,Listas!$H$5:$H$25,0))),"⚠ revisar la unidad"))</f>
        <v/>
      </c>
      <c r="I311" s="15" t="str">
        <f aca="false">IF(OR($F311="",$G311="",$F311=0),"",$G311/$F311)</f>
        <v/>
      </c>
      <c r="J311" s="22"/>
      <c r="K311" s="22"/>
      <c r="L311" s="22"/>
      <c r="M311" s="22"/>
      <c r="N311" s="22"/>
      <c r="O311" s="22"/>
      <c r="P311" s="23"/>
    </row>
    <row r="312" customFormat="false" ht="15" hidden="false" customHeight="false" outlineLevel="0" collapsed="false">
      <c r="A312" s="18"/>
      <c r="B312" s="19"/>
      <c r="C312" s="19"/>
      <c r="D312" s="19"/>
      <c r="E312" s="19"/>
      <c r="F312" s="20"/>
      <c r="G312" s="21"/>
      <c r="H312" s="14" t="str">
        <f aca="false">IF(OR($A312="",$D312="",$E312="",$F312=""),"",IFERROR($A312&amp;" / "&amp;IF(AND($F312=1,$D312=$E312),INDEX(Listas!$I$5:$I$25,MATCH($E312,Listas!$H$5:$H$25,0)),INDEX(Listas!$I$5:$I$25,MATCH($E312,Listas!$H$5:$H$25,0))&amp;" X "&amp;TEXT($F312,"0.####")&amp;" "&amp;INDEX(Listas!$I$5:$I$25,MATCH($D312,Listas!$H$5:$H$25,0))),"⚠ revisar la unidad"))</f>
        <v/>
      </c>
      <c r="I312" s="15" t="str">
        <f aca="false">IF(OR($F312="",$G312="",$F312=0),"",$G312/$F312)</f>
        <v/>
      </c>
      <c r="J312" s="22"/>
      <c r="K312" s="22"/>
      <c r="L312" s="22"/>
      <c r="M312" s="22"/>
      <c r="N312" s="22"/>
      <c r="O312" s="22"/>
      <c r="P312" s="23"/>
    </row>
    <row r="313" customFormat="false" ht="15" hidden="false" customHeight="false" outlineLevel="0" collapsed="false">
      <c r="A313" s="18"/>
      <c r="B313" s="19"/>
      <c r="C313" s="19"/>
      <c r="D313" s="19"/>
      <c r="E313" s="19"/>
      <c r="F313" s="20"/>
      <c r="G313" s="21"/>
      <c r="H313" s="14" t="str">
        <f aca="false">IF(OR($A313="",$D313="",$E313="",$F313=""),"",IFERROR($A313&amp;" / "&amp;IF(AND($F313=1,$D313=$E313),INDEX(Listas!$I$5:$I$25,MATCH($E313,Listas!$H$5:$H$25,0)),INDEX(Listas!$I$5:$I$25,MATCH($E313,Listas!$H$5:$H$25,0))&amp;" X "&amp;TEXT($F313,"0.####")&amp;" "&amp;INDEX(Listas!$I$5:$I$25,MATCH($D313,Listas!$H$5:$H$25,0))),"⚠ revisar la unidad"))</f>
        <v/>
      </c>
      <c r="I313" s="15" t="str">
        <f aca="false">IF(OR($F313="",$G313="",$F313=0),"",$G313/$F313)</f>
        <v/>
      </c>
      <c r="J313" s="22"/>
      <c r="K313" s="22"/>
      <c r="L313" s="22"/>
      <c r="M313" s="22"/>
      <c r="N313" s="22"/>
      <c r="O313" s="22"/>
      <c r="P313" s="23"/>
    </row>
    <row r="314" customFormat="false" ht="15" hidden="false" customHeight="false" outlineLevel="0" collapsed="false">
      <c r="A314" s="18"/>
      <c r="B314" s="19"/>
      <c r="C314" s="19"/>
      <c r="D314" s="19"/>
      <c r="E314" s="19"/>
      <c r="F314" s="20"/>
      <c r="G314" s="21"/>
      <c r="H314" s="14" t="str">
        <f aca="false">IF(OR($A314="",$D314="",$E314="",$F314=""),"",IFERROR($A314&amp;" / "&amp;IF(AND($F314=1,$D314=$E314),INDEX(Listas!$I$5:$I$25,MATCH($E314,Listas!$H$5:$H$25,0)),INDEX(Listas!$I$5:$I$25,MATCH($E314,Listas!$H$5:$H$25,0))&amp;" X "&amp;TEXT($F314,"0.####")&amp;" "&amp;INDEX(Listas!$I$5:$I$25,MATCH($D314,Listas!$H$5:$H$25,0))),"⚠ revisar la unidad"))</f>
        <v/>
      </c>
      <c r="I314" s="15" t="str">
        <f aca="false">IF(OR($F314="",$G314="",$F314=0),"",$G314/$F314)</f>
        <v/>
      </c>
      <c r="J314" s="22"/>
      <c r="K314" s="22"/>
      <c r="L314" s="22"/>
      <c r="M314" s="22"/>
      <c r="N314" s="22"/>
      <c r="O314" s="22"/>
      <c r="P314" s="23"/>
    </row>
    <row r="315" customFormat="false" ht="15" hidden="false" customHeight="false" outlineLevel="0" collapsed="false">
      <c r="A315" s="18"/>
      <c r="B315" s="19"/>
      <c r="C315" s="19"/>
      <c r="D315" s="19"/>
      <c r="E315" s="19"/>
      <c r="F315" s="20"/>
      <c r="G315" s="21"/>
      <c r="H315" s="14" t="str">
        <f aca="false">IF(OR($A315="",$D315="",$E315="",$F315=""),"",IFERROR($A315&amp;" / "&amp;IF(AND($F315=1,$D315=$E315),INDEX(Listas!$I$5:$I$25,MATCH($E315,Listas!$H$5:$H$25,0)),INDEX(Listas!$I$5:$I$25,MATCH($E315,Listas!$H$5:$H$25,0))&amp;" X "&amp;TEXT($F315,"0.####")&amp;" "&amp;INDEX(Listas!$I$5:$I$25,MATCH($D315,Listas!$H$5:$H$25,0))),"⚠ revisar la unidad"))</f>
        <v/>
      </c>
      <c r="I315" s="15" t="str">
        <f aca="false">IF(OR($F315="",$G315="",$F315=0),"",$G315/$F315)</f>
        <v/>
      </c>
      <c r="J315" s="22"/>
      <c r="K315" s="22"/>
      <c r="L315" s="22"/>
      <c r="M315" s="22"/>
      <c r="N315" s="22"/>
      <c r="O315" s="22"/>
      <c r="P315" s="23"/>
    </row>
    <row r="316" customFormat="false" ht="15" hidden="false" customHeight="false" outlineLevel="0" collapsed="false">
      <c r="A316" s="18"/>
      <c r="B316" s="19"/>
      <c r="C316" s="19"/>
      <c r="D316" s="19"/>
      <c r="E316" s="19"/>
      <c r="F316" s="20"/>
      <c r="G316" s="21"/>
      <c r="H316" s="14" t="str">
        <f aca="false">IF(OR($A316="",$D316="",$E316="",$F316=""),"",IFERROR($A316&amp;" / "&amp;IF(AND($F316=1,$D316=$E316),INDEX(Listas!$I$5:$I$25,MATCH($E316,Listas!$H$5:$H$25,0)),INDEX(Listas!$I$5:$I$25,MATCH($E316,Listas!$H$5:$H$25,0))&amp;" X "&amp;TEXT($F316,"0.####")&amp;" "&amp;INDEX(Listas!$I$5:$I$25,MATCH($D316,Listas!$H$5:$H$25,0))),"⚠ revisar la unidad"))</f>
        <v/>
      </c>
      <c r="I316" s="15" t="str">
        <f aca="false">IF(OR($F316="",$G316="",$F316=0),"",$G316/$F316)</f>
        <v/>
      </c>
      <c r="J316" s="22"/>
      <c r="K316" s="22"/>
      <c r="L316" s="22"/>
      <c r="M316" s="22"/>
      <c r="N316" s="22"/>
      <c r="O316" s="22"/>
      <c r="P316" s="23"/>
    </row>
    <row r="317" customFormat="false" ht="15" hidden="false" customHeight="false" outlineLevel="0" collapsed="false">
      <c r="A317" s="18"/>
      <c r="B317" s="19"/>
      <c r="C317" s="19"/>
      <c r="D317" s="19"/>
      <c r="E317" s="19"/>
      <c r="F317" s="20"/>
      <c r="G317" s="21"/>
      <c r="H317" s="14" t="str">
        <f aca="false">IF(OR($A317="",$D317="",$E317="",$F317=""),"",IFERROR($A317&amp;" / "&amp;IF(AND($F317=1,$D317=$E317),INDEX(Listas!$I$5:$I$25,MATCH($E317,Listas!$H$5:$H$25,0)),INDEX(Listas!$I$5:$I$25,MATCH($E317,Listas!$H$5:$H$25,0))&amp;" X "&amp;TEXT($F317,"0.####")&amp;" "&amp;INDEX(Listas!$I$5:$I$25,MATCH($D317,Listas!$H$5:$H$25,0))),"⚠ revisar la unidad"))</f>
        <v/>
      </c>
      <c r="I317" s="15" t="str">
        <f aca="false">IF(OR($F317="",$G317="",$F317=0),"",$G317/$F317)</f>
        <v/>
      </c>
      <c r="J317" s="22"/>
      <c r="K317" s="22"/>
      <c r="L317" s="22"/>
      <c r="M317" s="22"/>
      <c r="N317" s="22"/>
      <c r="O317" s="22"/>
      <c r="P317" s="23"/>
    </row>
    <row r="318" customFormat="false" ht="15" hidden="false" customHeight="false" outlineLevel="0" collapsed="false">
      <c r="A318" s="18"/>
      <c r="B318" s="19"/>
      <c r="C318" s="19"/>
      <c r="D318" s="19"/>
      <c r="E318" s="19"/>
      <c r="F318" s="20"/>
      <c r="G318" s="21"/>
      <c r="H318" s="14" t="str">
        <f aca="false">IF(OR($A318="",$D318="",$E318="",$F318=""),"",IFERROR($A318&amp;" / "&amp;IF(AND($F318=1,$D318=$E318),INDEX(Listas!$I$5:$I$25,MATCH($E318,Listas!$H$5:$H$25,0)),INDEX(Listas!$I$5:$I$25,MATCH($E318,Listas!$H$5:$H$25,0))&amp;" X "&amp;TEXT($F318,"0.####")&amp;" "&amp;INDEX(Listas!$I$5:$I$25,MATCH($D318,Listas!$H$5:$H$25,0))),"⚠ revisar la unidad"))</f>
        <v/>
      </c>
      <c r="I318" s="15" t="str">
        <f aca="false">IF(OR($F318="",$G318="",$F318=0),"",$G318/$F318)</f>
        <v/>
      </c>
      <c r="J318" s="22"/>
      <c r="K318" s="22"/>
      <c r="L318" s="22"/>
      <c r="M318" s="22"/>
      <c r="N318" s="22"/>
      <c r="O318" s="22"/>
      <c r="P318" s="23"/>
    </row>
    <row r="319" customFormat="false" ht="15" hidden="false" customHeight="false" outlineLevel="0" collapsed="false">
      <c r="A319" s="18"/>
      <c r="B319" s="19"/>
      <c r="C319" s="19"/>
      <c r="D319" s="19"/>
      <c r="E319" s="19"/>
      <c r="F319" s="20"/>
      <c r="G319" s="21"/>
      <c r="H319" s="14" t="str">
        <f aca="false">IF(OR($A319="",$D319="",$E319="",$F319=""),"",IFERROR($A319&amp;" / "&amp;IF(AND($F319=1,$D319=$E319),INDEX(Listas!$I$5:$I$25,MATCH($E319,Listas!$H$5:$H$25,0)),INDEX(Listas!$I$5:$I$25,MATCH($E319,Listas!$H$5:$H$25,0))&amp;" X "&amp;TEXT($F319,"0.####")&amp;" "&amp;INDEX(Listas!$I$5:$I$25,MATCH($D319,Listas!$H$5:$H$25,0))),"⚠ revisar la unidad"))</f>
        <v/>
      </c>
      <c r="I319" s="15" t="str">
        <f aca="false">IF(OR($F319="",$G319="",$F319=0),"",$G319/$F319)</f>
        <v/>
      </c>
      <c r="J319" s="22"/>
      <c r="K319" s="22"/>
      <c r="L319" s="22"/>
      <c r="M319" s="22"/>
      <c r="N319" s="22"/>
      <c r="O319" s="22"/>
      <c r="P319" s="23"/>
    </row>
    <row r="320" customFormat="false" ht="15" hidden="false" customHeight="false" outlineLevel="0" collapsed="false">
      <c r="A320" s="18"/>
      <c r="B320" s="19"/>
      <c r="C320" s="19"/>
      <c r="D320" s="19"/>
      <c r="E320" s="19"/>
      <c r="F320" s="20"/>
      <c r="G320" s="21"/>
      <c r="H320" s="14" t="str">
        <f aca="false">IF(OR($A320="",$D320="",$E320="",$F320=""),"",IFERROR($A320&amp;" / "&amp;IF(AND($F320=1,$D320=$E320),INDEX(Listas!$I$5:$I$25,MATCH($E320,Listas!$H$5:$H$25,0)),INDEX(Listas!$I$5:$I$25,MATCH($E320,Listas!$H$5:$H$25,0))&amp;" X "&amp;TEXT($F320,"0.####")&amp;" "&amp;INDEX(Listas!$I$5:$I$25,MATCH($D320,Listas!$H$5:$H$25,0))),"⚠ revisar la unidad"))</f>
        <v/>
      </c>
      <c r="I320" s="15" t="str">
        <f aca="false">IF(OR($F320="",$G320="",$F320=0),"",$G320/$F320)</f>
        <v/>
      </c>
      <c r="J320" s="22"/>
      <c r="K320" s="22"/>
      <c r="L320" s="22"/>
      <c r="M320" s="22"/>
      <c r="N320" s="22"/>
      <c r="O320" s="22"/>
      <c r="P320" s="23"/>
    </row>
    <row r="321" customFormat="false" ht="15" hidden="false" customHeight="false" outlineLevel="0" collapsed="false">
      <c r="A321" s="18"/>
      <c r="B321" s="19"/>
      <c r="C321" s="19"/>
      <c r="D321" s="19"/>
      <c r="E321" s="19"/>
      <c r="F321" s="20"/>
      <c r="G321" s="21"/>
      <c r="H321" s="14" t="str">
        <f aca="false">IF(OR($A321="",$D321="",$E321="",$F321=""),"",IFERROR($A321&amp;" / "&amp;IF(AND($F321=1,$D321=$E321),INDEX(Listas!$I$5:$I$25,MATCH($E321,Listas!$H$5:$H$25,0)),INDEX(Listas!$I$5:$I$25,MATCH($E321,Listas!$H$5:$H$25,0))&amp;" X "&amp;TEXT($F321,"0.####")&amp;" "&amp;INDEX(Listas!$I$5:$I$25,MATCH($D321,Listas!$H$5:$H$25,0))),"⚠ revisar la unidad"))</f>
        <v/>
      </c>
      <c r="I321" s="15" t="str">
        <f aca="false">IF(OR($F321="",$G321="",$F321=0),"",$G321/$F321)</f>
        <v/>
      </c>
      <c r="J321" s="22"/>
      <c r="K321" s="22"/>
      <c r="L321" s="22"/>
      <c r="M321" s="22"/>
      <c r="N321" s="22"/>
      <c r="O321" s="22"/>
      <c r="P321" s="23"/>
    </row>
    <row r="322" customFormat="false" ht="15" hidden="false" customHeight="false" outlineLevel="0" collapsed="false">
      <c r="A322" s="18"/>
      <c r="B322" s="19"/>
      <c r="C322" s="19"/>
      <c r="D322" s="19"/>
      <c r="E322" s="19"/>
      <c r="F322" s="20"/>
      <c r="G322" s="21"/>
      <c r="H322" s="14" t="str">
        <f aca="false">IF(OR($A322="",$D322="",$E322="",$F322=""),"",IFERROR($A322&amp;" / "&amp;IF(AND($F322=1,$D322=$E322),INDEX(Listas!$I$5:$I$25,MATCH($E322,Listas!$H$5:$H$25,0)),INDEX(Listas!$I$5:$I$25,MATCH($E322,Listas!$H$5:$H$25,0))&amp;" X "&amp;TEXT($F322,"0.####")&amp;" "&amp;INDEX(Listas!$I$5:$I$25,MATCH($D322,Listas!$H$5:$H$25,0))),"⚠ revisar la unidad"))</f>
        <v/>
      </c>
      <c r="I322" s="15" t="str">
        <f aca="false">IF(OR($F322="",$G322="",$F322=0),"",$G322/$F322)</f>
        <v/>
      </c>
      <c r="J322" s="22"/>
      <c r="K322" s="22"/>
      <c r="L322" s="22"/>
      <c r="M322" s="22"/>
      <c r="N322" s="22"/>
      <c r="O322" s="22"/>
      <c r="P322" s="23"/>
    </row>
    <row r="323" customFormat="false" ht="15" hidden="false" customHeight="false" outlineLevel="0" collapsed="false">
      <c r="A323" s="18"/>
      <c r="B323" s="19"/>
      <c r="C323" s="19"/>
      <c r="D323" s="19"/>
      <c r="E323" s="19"/>
      <c r="F323" s="20"/>
      <c r="G323" s="21"/>
      <c r="H323" s="14" t="str">
        <f aca="false">IF(OR($A323="",$D323="",$E323="",$F323=""),"",IFERROR($A323&amp;" / "&amp;IF(AND($F323=1,$D323=$E323),INDEX(Listas!$I$5:$I$25,MATCH($E323,Listas!$H$5:$H$25,0)),INDEX(Listas!$I$5:$I$25,MATCH($E323,Listas!$H$5:$H$25,0))&amp;" X "&amp;TEXT($F323,"0.####")&amp;" "&amp;INDEX(Listas!$I$5:$I$25,MATCH($D323,Listas!$H$5:$H$25,0))),"⚠ revisar la unidad"))</f>
        <v/>
      </c>
      <c r="I323" s="15" t="str">
        <f aca="false">IF(OR($F323="",$G323="",$F323=0),"",$G323/$F323)</f>
        <v/>
      </c>
      <c r="J323" s="22"/>
      <c r="K323" s="22"/>
      <c r="L323" s="22"/>
      <c r="M323" s="22"/>
      <c r="N323" s="22"/>
      <c r="O323" s="22"/>
      <c r="P323" s="23"/>
    </row>
    <row r="324" customFormat="false" ht="15" hidden="false" customHeight="false" outlineLevel="0" collapsed="false">
      <c r="A324" s="18"/>
      <c r="B324" s="19"/>
      <c r="C324" s="19"/>
      <c r="D324" s="19"/>
      <c r="E324" s="19"/>
      <c r="F324" s="20"/>
      <c r="G324" s="21"/>
      <c r="H324" s="14" t="str">
        <f aca="false">IF(OR($A324="",$D324="",$E324="",$F324=""),"",IFERROR($A324&amp;" / "&amp;IF(AND($F324=1,$D324=$E324),INDEX(Listas!$I$5:$I$25,MATCH($E324,Listas!$H$5:$H$25,0)),INDEX(Listas!$I$5:$I$25,MATCH($E324,Listas!$H$5:$H$25,0))&amp;" X "&amp;TEXT($F324,"0.####")&amp;" "&amp;INDEX(Listas!$I$5:$I$25,MATCH($D324,Listas!$H$5:$H$25,0))),"⚠ revisar la unidad"))</f>
        <v/>
      </c>
      <c r="I324" s="15" t="str">
        <f aca="false">IF(OR($F324="",$G324="",$F324=0),"",$G324/$F324)</f>
        <v/>
      </c>
      <c r="J324" s="22"/>
      <c r="K324" s="22"/>
      <c r="L324" s="22"/>
      <c r="M324" s="22"/>
      <c r="N324" s="22"/>
      <c r="O324" s="22"/>
      <c r="P324" s="23"/>
    </row>
    <row r="325" customFormat="false" ht="15" hidden="false" customHeight="false" outlineLevel="0" collapsed="false">
      <c r="A325" s="18"/>
      <c r="B325" s="19"/>
      <c r="C325" s="19"/>
      <c r="D325" s="19"/>
      <c r="E325" s="19"/>
      <c r="F325" s="20"/>
      <c r="G325" s="21"/>
      <c r="H325" s="14" t="str">
        <f aca="false">IF(OR($A325="",$D325="",$E325="",$F325=""),"",IFERROR($A325&amp;" / "&amp;IF(AND($F325=1,$D325=$E325),INDEX(Listas!$I$5:$I$25,MATCH($E325,Listas!$H$5:$H$25,0)),INDEX(Listas!$I$5:$I$25,MATCH($E325,Listas!$H$5:$H$25,0))&amp;" X "&amp;TEXT($F325,"0.####")&amp;" "&amp;INDEX(Listas!$I$5:$I$25,MATCH($D325,Listas!$H$5:$H$25,0))),"⚠ revisar la unidad"))</f>
        <v/>
      </c>
      <c r="I325" s="15" t="str">
        <f aca="false">IF(OR($F325="",$G325="",$F325=0),"",$G325/$F325)</f>
        <v/>
      </c>
      <c r="J325" s="22"/>
      <c r="K325" s="22"/>
      <c r="L325" s="22"/>
      <c r="M325" s="22"/>
      <c r="N325" s="22"/>
      <c r="O325" s="22"/>
      <c r="P325" s="23"/>
    </row>
    <row r="326" customFormat="false" ht="15" hidden="false" customHeight="false" outlineLevel="0" collapsed="false">
      <c r="A326" s="18"/>
      <c r="B326" s="19"/>
      <c r="C326" s="19"/>
      <c r="D326" s="19"/>
      <c r="E326" s="19"/>
      <c r="F326" s="20"/>
      <c r="G326" s="21"/>
      <c r="H326" s="14" t="str">
        <f aca="false">IF(OR($A326="",$D326="",$E326="",$F326=""),"",IFERROR($A326&amp;" / "&amp;IF(AND($F326=1,$D326=$E326),INDEX(Listas!$I$5:$I$25,MATCH($E326,Listas!$H$5:$H$25,0)),INDEX(Listas!$I$5:$I$25,MATCH($E326,Listas!$H$5:$H$25,0))&amp;" X "&amp;TEXT($F326,"0.####")&amp;" "&amp;INDEX(Listas!$I$5:$I$25,MATCH($D326,Listas!$H$5:$H$25,0))),"⚠ revisar la unidad"))</f>
        <v/>
      </c>
      <c r="I326" s="15" t="str">
        <f aca="false">IF(OR($F326="",$G326="",$F326=0),"",$G326/$F326)</f>
        <v/>
      </c>
      <c r="J326" s="22"/>
      <c r="K326" s="22"/>
      <c r="L326" s="22"/>
      <c r="M326" s="22"/>
      <c r="N326" s="22"/>
      <c r="O326" s="22"/>
      <c r="P326" s="23"/>
    </row>
    <row r="327" customFormat="false" ht="15" hidden="false" customHeight="false" outlineLevel="0" collapsed="false">
      <c r="A327" s="18"/>
      <c r="B327" s="19"/>
      <c r="C327" s="19"/>
      <c r="D327" s="19"/>
      <c r="E327" s="19"/>
      <c r="F327" s="20"/>
      <c r="G327" s="21"/>
      <c r="H327" s="14" t="str">
        <f aca="false">IF(OR($A327="",$D327="",$E327="",$F327=""),"",IFERROR($A327&amp;" / "&amp;IF(AND($F327=1,$D327=$E327),INDEX(Listas!$I$5:$I$25,MATCH($E327,Listas!$H$5:$H$25,0)),INDEX(Listas!$I$5:$I$25,MATCH($E327,Listas!$H$5:$H$25,0))&amp;" X "&amp;TEXT($F327,"0.####")&amp;" "&amp;INDEX(Listas!$I$5:$I$25,MATCH($D327,Listas!$H$5:$H$25,0))),"⚠ revisar la unidad"))</f>
        <v/>
      </c>
      <c r="I327" s="15" t="str">
        <f aca="false">IF(OR($F327="",$G327="",$F327=0),"",$G327/$F327)</f>
        <v/>
      </c>
      <c r="J327" s="22"/>
      <c r="K327" s="22"/>
      <c r="L327" s="22"/>
      <c r="M327" s="22"/>
      <c r="N327" s="22"/>
      <c r="O327" s="22"/>
      <c r="P327" s="23"/>
    </row>
    <row r="328" customFormat="false" ht="15" hidden="false" customHeight="false" outlineLevel="0" collapsed="false">
      <c r="A328" s="18"/>
      <c r="B328" s="19"/>
      <c r="C328" s="19"/>
      <c r="D328" s="19"/>
      <c r="E328" s="19"/>
      <c r="F328" s="20"/>
      <c r="G328" s="21"/>
      <c r="H328" s="14" t="str">
        <f aca="false">IF(OR($A328="",$D328="",$E328="",$F328=""),"",IFERROR($A328&amp;" / "&amp;IF(AND($F328=1,$D328=$E328),INDEX(Listas!$I$5:$I$25,MATCH($E328,Listas!$H$5:$H$25,0)),INDEX(Listas!$I$5:$I$25,MATCH($E328,Listas!$H$5:$H$25,0))&amp;" X "&amp;TEXT($F328,"0.####")&amp;" "&amp;INDEX(Listas!$I$5:$I$25,MATCH($D328,Listas!$H$5:$H$25,0))),"⚠ revisar la unidad"))</f>
        <v/>
      </c>
      <c r="I328" s="15" t="str">
        <f aca="false">IF(OR($F328="",$G328="",$F328=0),"",$G328/$F328)</f>
        <v/>
      </c>
      <c r="J328" s="22"/>
      <c r="K328" s="22"/>
      <c r="L328" s="22"/>
      <c r="M328" s="22"/>
      <c r="N328" s="22"/>
      <c r="O328" s="22"/>
      <c r="P328" s="23"/>
    </row>
    <row r="329" customFormat="false" ht="15" hidden="false" customHeight="false" outlineLevel="0" collapsed="false">
      <c r="A329" s="18"/>
      <c r="B329" s="19"/>
      <c r="C329" s="19"/>
      <c r="D329" s="19"/>
      <c r="E329" s="19"/>
      <c r="F329" s="20"/>
      <c r="G329" s="21"/>
      <c r="H329" s="14" t="str">
        <f aca="false">IF(OR($A329="",$D329="",$E329="",$F329=""),"",IFERROR($A329&amp;" / "&amp;IF(AND($F329=1,$D329=$E329),INDEX(Listas!$I$5:$I$25,MATCH($E329,Listas!$H$5:$H$25,0)),INDEX(Listas!$I$5:$I$25,MATCH($E329,Listas!$H$5:$H$25,0))&amp;" X "&amp;TEXT($F329,"0.####")&amp;" "&amp;INDEX(Listas!$I$5:$I$25,MATCH($D329,Listas!$H$5:$H$25,0))),"⚠ revisar la unidad"))</f>
        <v/>
      </c>
      <c r="I329" s="15" t="str">
        <f aca="false">IF(OR($F329="",$G329="",$F329=0),"",$G329/$F329)</f>
        <v/>
      </c>
      <c r="J329" s="22"/>
      <c r="K329" s="22"/>
      <c r="L329" s="22"/>
      <c r="M329" s="22"/>
      <c r="N329" s="22"/>
      <c r="O329" s="22"/>
      <c r="P329" s="23"/>
    </row>
    <row r="330" customFormat="false" ht="15" hidden="false" customHeight="false" outlineLevel="0" collapsed="false">
      <c r="A330" s="18"/>
      <c r="B330" s="19"/>
      <c r="C330" s="19"/>
      <c r="D330" s="19"/>
      <c r="E330" s="19"/>
      <c r="F330" s="20"/>
      <c r="G330" s="21"/>
      <c r="H330" s="14" t="str">
        <f aca="false">IF(OR($A330="",$D330="",$E330="",$F330=""),"",IFERROR($A330&amp;" / "&amp;IF(AND($F330=1,$D330=$E330),INDEX(Listas!$I$5:$I$25,MATCH($E330,Listas!$H$5:$H$25,0)),INDEX(Listas!$I$5:$I$25,MATCH($E330,Listas!$H$5:$H$25,0))&amp;" X "&amp;TEXT($F330,"0.####")&amp;" "&amp;INDEX(Listas!$I$5:$I$25,MATCH($D330,Listas!$H$5:$H$25,0))),"⚠ revisar la unidad"))</f>
        <v/>
      </c>
      <c r="I330" s="15" t="str">
        <f aca="false">IF(OR($F330="",$G330="",$F330=0),"",$G330/$F330)</f>
        <v/>
      </c>
      <c r="J330" s="22"/>
      <c r="K330" s="22"/>
      <c r="L330" s="22"/>
      <c r="M330" s="22"/>
      <c r="N330" s="22"/>
      <c r="O330" s="22"/>
      <c r="P330" s="23"/>
    </row>
    <row r="331" customFormat="false" ht="15" hidden="false" customHeight="false" outlineLevel="0" collapsed="false">
      <c r="A331" s="18"/>
      <c r="B331" s="19"/>
      <c r="C331" s="19"/>
      <c r="D331" s="19"/>
      <c r="E331" s="19"/>
      <c r="F331" s="20"/>
      <c r="G331" s="21"/>
      <c r="H331" s="14" t="str">
        <f aca="false">IF(OR($A331="",$D331="",$E331="",$F331=""),"",IFERROR($A331&amp;" / "&amp;IF(AND($F331=1,$D331=$E331),INDEX(Listas!$I$5:$I$25,MATCH($E331,Listas!$H$5:$H$25,0)),INDEX(Listas!$I$5:$I$25,MATCH($E331,Listas!$H$5:$H$25,0))&amp;" X "&amp;TEXT($F331,"0.####")&amp;" "&amp;INDEX(Listas!$I$5:$I$25,MATCH($D331,Listas!$H$5:$H$25,0))),"⚠ revisar la unidad"))</f>
        <v/>
      </c>
      <c r="I331" s="15" t="str">
        <f aca="false">IF(OR($F331="",$G331="",$F331=0),"",$G331/$F331)</f>
        <v/>
      </c>
      <c r="J331" s="22"/>
      <c r="K331" s="22"/>
      <c r="L331" s="22"/>
      <c r="M331" s="22"/>
      <c r="N331" s="22"/>
      <c r="O331" s="22"/>
      <c r="P331" s="23"/>
    </row>
    <row r="332" customFormat="false" ht="15" hidden="false" customHeight="false" outlineLevel="0" collapsed="false">
      <c r="A332" s="18"/>
      <c r="B332" s="19"/>
      <c r="C332" s="19"/>
      <c r="D332" s="19"/>
      <c r="E332" s="19"/>
      <c r="F332" s="20"/>
      <c r="G332" s="21"/>
      <c r="H332" s="14" t="str">
        <f aca="false">IF(OR($A332="",$D332="",$E332="",$F332=""),"",IFERROR($A332&amp;" / "&amp;IF(AND($F332=1,$D332=$E332),INDEX(Listas!$I$5:$I$25,MATCH($E332,Listas!$H$5:$H$25,0)),INDEX(Listas!$I$5:$I$25,MATCH($E332,Listas!$H$5:$H$25,0))&amp;" X "&amp;TEXT($F332,"0.####")&amp;" "&amp;INDEX(Listas!$I$5:$I$25,MATCH($D332,Listas!$H$5:$H$25,0))),"⚠ revisar la unidad"))</f>
        <v/>
      </c>
      <c r="I332" s="15" t="str">
        <f aca="false">IF(OR($F332="",$G332="",$F332=0),"",$G332/$F332)</f>
        <v/>
      </c>
      <c r="J332" s="22"/>
      <c r="K332" s="22"/>
      <c r="L332" s="22"/>
      <c r="M332" s="22"/>
      <c r="N332" s="22"/>
      <c r="O332" s="22"/>
      <c r="P332" s="23"/>
    </row>
    <row r="333" customFormat="false" ht="15" hidden="false" customHeight="false" outlineLevel="0" collapsed="false">
      <c r="A333" s="18"/>
      <c r="B333" s="19"/>
      <c r="C333" s="19"/>
      <c r="D333" s="19"/>
      <c r="E333" s="19"/>
      <c r="F333" s="20"/>
      <c r="G333" s="21"/>
      <c r="H333" s="14" t="str">
        <f aca="false">IF(OR($A333="",$D333="",$E333="",$F333=""),"",IFERROR($A333&amp;" / "&amp;IF(AND($F333=1,$D333=$E333),INDEX(Listas!$I$5:$I$25,MATCH($E333,Listas!$H$5:$H$25,0)),INDEX(Listas!$I$5:$I$25,MATCH($E333,Listas!$H$5:$H$25,0))&amp;" X "&amp;TEXT($F333,"0.####")&amp;" "&amp;INDEX(Listas!$I$5:$I$25,MATCH($D333,Listas!$H$5:$H$25,0))),"⚠ revisar la unidad"))</f>
        <v/>
      </c>
      <c r="I333" s="15" t="str">
        <f aca="false">IF(OR($F333="",$G333="",$F333=0),"",$G333/$F333)</f>
        <v/>
      </c>
      <c r="J333" s="22"/>
      <c r="K333" s="22"/>
      <c r="L333" s="22"/>
      <c r="M333" s="22"/>
      <c r="N333" s="22"/>
      <c r="O333" s="22"/>
      <c r="P333" s="23"/>
    </row>
    <row r="334" customFormat="false" ht="15" hidden="false" customHeight="false" outlineLevel="0" collapsed="false">
      <c r="A334" s="18"/>
      <c r="B334" s="19"/>
      <c r="C334" s="19"/>
      <c r="D334" s="19"/>
      <c r="E334" s="19"/>
      <c r="F334" s="20"/>
      <c r="G334" s="21"/>
      <c r="H334" s="14" t="str">
        <f aca="false">IF(OR($A334="",$D334="",$E334="",$F334=""),"",IFERROR($A334&amp;" / "&amp;IF(AND($F334=1,$D334=$E334),INDEX(Listas!$I$5:$I$25,MATCH($E334,Listas!$H$5:$H$25,0)),INDEX(Listas!$I$5:$I$25,MATCH($E334,Listas!$H$5:$H$25,0))&amp;" X "&amp;TEXT($F334,"0.####")&amp;" "&amp;INDEX(Listas!$I$5:$I$25,MATCH($D334,Listas!$H$5:$H$25,0))),"⚠ revisar la unidad"))</f>
        <v/>
      </c>
      <c r="I334" s="15" t="str">
        <f aca="false">IF(OR($F334="",$G334="",$F334=0),"",$G334/$F334)</f>
        <v/>
      </c>
      <c r="J334" s="22"/>
      <c r="K334" s="22"/>
      <c r="L334" s="22"/>
      <c r="M334" s="22"/>
      <c r="N334" s="22"/>
      <c r="O334" s="22"/>
      <c r="P334" s="23"/>
    </row>
    <row r="335" customFormat="false" ht="15" hidden="false" customHeight="false" outlineLevel="0" collapsed="false">
      <c r="A335" s="18"/>
      <c r="B335" s="19"/>
      <c r="C335" s="19"/>
      <c r="D335" s="19"/>
      <c r="E335" s="19"/>
      <c r="F335" s="20"/>
      <c r="G335" s="21"/>
      <c r="H335" s="14" t="str">
        <f aca="false">IF(OR($A335="",$D335="",$E335="",$F335=""),"",IFERROR($A335&amp;" / "&amp;IF(AND($F335=1,$D335=$E335),INDEX(Listas!$I$5:$I$25,MATCH($E335,Listas!$H$5:$H$25,0)),INDEX(Listas!$I$5:$I$25,MATCH($E335,Listas!$H$5:$H$25,0))&amp;" X "&amp;TEXT($F335,"0.####")&amp;" "&amp;INDEX(Listas!$I$5:$I$25,MATCH($D335,Listas!$H$5:$H$25,0))),"⚠ revisar la unidad"))</f>
        <v/>
      </c>
      <c r="I335" s="15" t="str">
        <f aca="false">IF(OR($F335="",$G335="",$F335=0),"",$G335/$F335)</f>
        <v/>
      </c>
      <c r="J335" s="22"/>
      <c r="K335" s="22"/>
      <c r="L335" s="22"/>
      <c r="M335" s="22"/>
      <c r="N335" s="22"/>
      <c r="O335" s="22"/>
      <c r="P335" s="23"/>
    </row>
    <row r="336" customFormat="false" ht="15" hidden="false" customHeight="false" outlineLevel="0" collapsed="false">
      <c r="A336" s="18"/>
      <c r="B336" s="19"/>
      <c r="C336" s="19"/>
      <c r="D336" s="19"/>
      <c r="E336" s="19"/>
      <c r="F336" s="20"/>
      <c r="G336" s="21"/>
      <c r="H336" s="14" t="str">
        <f aca="false">IF(OR($A336="",$D336="",$E336="",$F336=""),"",IFERROR($A336&amp;" / "&amp;IF(AND($F336=1,$D336=$E336),INDEX(Listas!$I$5:$I$25,MATCH($E336,Listas!$H$5:$H$25,0)),INDEX(Listas!$I$5:$I$25,MATCH($E336,Listas!$H$5:$H$25,0))&amp;" X "&amp;TEXT($F336,"0.####")&amp;" "&amp;INDEX(Listas!$I$5:$I$25,MATCH($D336,Listas!$H$5:$H$25,0))),"⚠ revisar la unidad"))</f>
        <v/>
      </c>
      <c r="I336" s="15" t="str">
        <f aca="false">IF(OR($F336="",$G336="",$F336=0),"",$G336/$F336)</f>
        <v/>
      </c>
      <c r="J336" s="22"/>
      <c r="K336" s="22"/>
      <c r="L336" s="22"/>
      <c r="M336" s="22"/>
      <c r="N336" s="22"/>
      <c r="O336" s="22"/>
      <c r="P336" s="23"/>
    </row>
    <row r="337" customFormat="false" ht="15" hidden="false" customHeight="false" outlineLevel="0" collapsed="false">
      <c r="A337" s="18"/>
      <c r="B337" s="19"/>
      <c r="C337" s="19"/>
      <c r="D337" s="19"/>
      <c r="E337" s="19"/>
      <c r="F337" s="20"/>
      <c r="G337" s="21"/>
      <c r="H337" s="14" t="str">
        <f aca="false">IF(OR($A337="",$D337="",$E337="",$F337=""),"",IFERROR($A337&amp;" / "&amp;IF(AND($F337=1,$D337=$E337),INDEX(Listas!$I$5:$I$25,MATCH($E337,Listas!$H$5:$H$25,0)),INDEX(Listas!$I$5:$I$25,MATCH($E337,Listas!$H$5:$H$25,0))&amp;" X "&amp;TEXT($F337,"0.####")&amp;" "&amp;INDEX(Listas!$I$5:$I$25,MATCH($D337,Listas!$H$5:$H$25,0))),"⚠ revisar la unidad"))</f>
        <v/>
      </c>
      <c r="I337" s="15" t="str">
        <f aca="false">IF(OR($F337="",$G337="",$F337=0),"",$G337/$F337)</f>
        <v/>
      </c>
      <c r="J337" s="22"/>
      <c r="K337" s="22"/>
      <c r="L337" s="22"/>
      <c r="M337" s="22"/>
      <c r="N337" s="22"/>
      <c r="O337" s="22"/>
      <c r="P337" s="23"/>
    </row>
    <row r="338" customFormat="false" ht="15" hidden="false" customHeight="false" outlineLevel="0" collapsed="false">
      <c r="A338" s="18"/>
      <c r="B338" s="19"/>
      <c r="C338" s="19"/>
      <c r="D338" s="19"/>
      <c r="E338" s="19"/>
      <c r="F338" s="20"/>
      <c r="G338" s="21"/>
      <c r="H338" s="14" t="str">
        <f aca="false">IF(OR($A338="",$D338="",$E338="",$F338=""),"",IFERROR($A338&amp;" / "&amp;IF(AND($F338=1,$D338=$E338),INDEX(Listas!$I$5:$I$25,MATCH($E338,Listas!$H$5:$H$25,0)),INDEX(Listas!$I$5:$I$25,MATCH($E338,Listas!$H$5:$H$25,0))&amp;" X "&amp;TEXT($F338,"0.####")&amp;" "&amp;INDEX(Listas!$I$5:$I$25,MATCH($D338,Listas!$H$5:$H$25,0))),"⚠ revisar la unidad"))</f>
        <v/>
      </c>
      <c r="I338" s="15" t="str">
        <f aca="false">IF(OR($F338="",$G338="",$F338=0),"",$G338/$F338)</f>
        <v/>
      </c>
      <c r="J338" s="22"/>
      <c r="K338" s="22"/>
      <c r="L338" s="22"/>
      <c r="M338" s="22"/>
      <c r="N338" s="22"/>
      <c r="O338" s="22"/>
      <c r="P338" s="23"/>
    </row>
    <row r="339" customFormat="false" ht="15" hidden="false" customHeight="false" outlineLevel="0" collapsed="false">
      <c r="A339" s="18"/>
      <c r="B339" s="19"/>
      <c r="C339" s="19"/>
      <c r="D339" s="19"/>
      <c r="E339" s="19"/>
      <c r="F339" s="20"/>
      <c r="G339" s="21"/>
      <c r="H339" s="14" t="str">
        <f aca="false">IF(OR($A339="",$D339="",$E339="",$F339=""),"",IFERROR($A339&amp;" / "&amp;IF(AND($F339=1,$D339=$E339),INDEX(Listas!$I$5:$I$25,MATCH($E339,Listas!$H$5:$H$25,0)),INDEX(Listas!$I$5:$I$25,MATCH($E339,Listas!$H$5:$H$25,0))&amp;" X "&amp;TEXT($F339,"0.####")&amp;" "&amp;INDEX(Listas!$I$5:$I$25,MATCH($D339,Listas!$H$5:$H$25,0))),"⚠ revisar la unidad"))</f>
        <v/>
      </c>
      <c r="I339" s="15" t="str">
        <f aca="false">IF(OR($F339="",$G339="",$F339=0),"",$G339/$F339)</f>
        <v/>
      </c>
      <c r="J339" s="22"/>
      <c r="K339" s="22"/>
      <c r="L339" s="22"/>
      <c r="M339" s="22"/>
      <c r="N339" s="22"/>
      <c r="O339" s="22"/>
      <c r="P339" s="23"/>
    </row>
    <row r="340" customFormat="false" ht="15" hidden="false" customHeight="false" outlineLevel="0" collapsed="false">
      <c r="A340" s="18"/>
      <c r="B340" s="19"/>
      <c r="C340" s="19"/>
      <c r="D340" s="19"/>
      <c r="E340" s="19"/>
      <c r="F340" s="20"/>
      <c r="G340" s="21"/>
      <c r="H340" s="14" t="str">
        <f aca="false">IF(OR($A340="",$D340="",$E340="",$F340=""),"",IFERROR($A340&amp;" / "&amp;IF(AND($F340=1,$D340=$E340),INDEX(Listas!$I$5:$I$25,MATCH($E340,Listas!$H$5:$H$25,0)),INDEX(Listas!$I$5:$I$25,MATCH($E340,Listas!$H$5:$H$25,0))&amp;" X "&amp;TEXT($F340,"0.####")&amp;" "&amp;INDEX(Listas!$I$5:$I$25,MATCH($D340,Listas!$H$5:$H$25,0))),"⚠ revisar la unidad"))</f>
        <v/>
      </c>
      <c r="I340" s="15" t="str">
        <f aca="false">IF(OR($F340="",$G340="",$F340=0),"",$G340/$F340)</f>
        <v/>
      </c>
      <c r="J340" s="22"/>
      <c r="K340" s="22"/>
      <c r="L340" s="22"/>
      <c r="M340" s="22"/>
      <c r="N340" s="22"/>
      <c r="O340" s="22"/>
      <c r="P340" s="23"/>
    </row>
    <row r="341" customFormat="false" ht="15" hidden="false" customHeight="false" outlineLevel="0" collapsed="false">
      <c r="A341" s="18"/>
      <c r="B341" s="19"/>
      <c r="C341" s="19"/>
      <c r="D341" s="19"/>
      <c r="E341" s="19"/>
      <c r="F341" s="20"/>
      <c r="G341" s="21"/>
      <c r="H341" s="14" t="str">
        <f aca="false">IF(OR($A341="",$D341="",$E341="",$F341=""),"",IFERROR($A341&amp;" / "&amp;IF(AND($F341=1,$D341=$E341),INDEX(Listas!$I$5:$I$25,MATCH($E341,Listas!$H$5:$H$25,0)),INDEX(Listas!$I$5:$I$25,MATCH($E341,Listas!$H$5:$H$25,0))&amp;" X "&amp;TEXT($F341,"0.####")&amp;" "&amp;INDEX(Listas!$I$5:$I$25,MATCH($D341,Listas!$H$5:$H$25,0))),"⚠ revisar la unidad"))</f>
        <v/>
      </c>
      <c r="I341" s="15" t="str">
        <f aca="false">IF(OR($F341="",$G341="",$F341=0),"",$G341/$F341)</f>
        <v/>
      </c>
      <c r="J341" s="22"/>
      <c r="K341" s="22"/>
      <c r="L341" s="22"/>
      <c r="M341" s="22"/>
      <c r="N341" s="22"/>
      <c r="O341" s="22"/>
      <c r="P341" s="23"/>
    </row>
    <row r="342" customFormat="false" ht="15" hidden="false" customHeight="false" outlineLevel="0" collapsed="false">
      <c r="A342" s="18"/>
      <c r="B342" s="19"/>
      <c r="C342" s="19"/>
      <c r="D342" s="19"/>
      <c r="E342" s="19"/>
      <c r="F342" s="20"/>
      <c r="G342" s="21"/>
      <c r="H342" s="14" t="str">
        <f aca="false">IF(OR($A342="",$D342="",$E342="",$F342=""),"",IFERROR($A342&amp;" / "&amp;IF(AND($F342=1,$D342=$E342),INDEX(Listas!$I$5:$I$25,MATCH($E342,Listas!$H$5:$H$25,0)),INDEX(Listas!$I$5:$I$25,MATCH($E342,Listas!$H$5:$H$25,0))&amp;" X "&amp;TEXT($F342,"0.####")&amp;" "&amp;INDEX(Listas!$I$5:$I$25,MATCH($D342,Listas!$H$5:$H$25,0))),"⚠ revisar la unidad"))</f>
        <v/>
      </c>
      <c r="I342" s="15" t="str">
        <f aca="false">IF(OR($F342="",$G342="",$F342=0),"",$G342/$F342)</f>
        <v/>
      </c>
      <c r="J342" s="22"/>
      <c r="K342" s="22"/>
      <c r="L342" s="22"/>
      <c r="M342" s="22"/>
      <c r="N342" s="22"/>
      <c r="O342" s="22"/>
      <c r="P342" s="23"/>
    </row>
    <row r="343" customFormat="false" ht="15" hidden="false" customHeight="false" outlineLevel="0" collapsed="false">
      <c r="A343" s="18"/>
      <c r="B343" s="19"/>
      <c r="C343" s="19"/>
      <c r="D343" s="19"/>
      <c r="E343" s="19"/>
      <c r="F343" s="20"/>
      <c r="G343" s="21"/>
      <c r="H343" s="14" t="str">
        <f aca="false">IF(OR($A343="",$D343="",$E343="",$F343=""),"",IFERROR($A343&amp;" / "&amp;IF(AND($F343=1,$D343=$E343),INDEX(Listas!$I$5:$I$25,MATCH($E343,Listas!$H$5:$H$25,0)),INDEX(Listas!$I$5:$I$25,MATCH($E343,Listas!$H$5:$H$25,0))&amp;" X "&amp;TEXT($F343,"0.####")&amp;" "&amp;INDEX(Listas!$I$5:$I$25,MATCH($D343,Listas!$H$5:$H$25,0))),"⚠ revisar la unidad"))</f>
        <v/>
      </c>
      <c r="I343" s="15" t="str">
        <f aca="false">IF(OR($F343="",$G343="",$F343=0),"",$G343/$F343)</f>
        <v/>
      </c>
      <c r="J343" s="22"/>
      <c r="K343" s="22"/>
      <c r="L343" s="22"/>
      <c r="M343" s="22"/>
      <c r="N343" s="22"/>
      <c r="O343" s="22"/>
      <c r="P343" s="23"/>
    </row>
    <row r="344" customFormat="false" ht="15" hidden="false" customHeight="false" outlineLevel="0" collapsed="false">
      <c r="A344" s="18"/>
      <c r="B344" s="19"/>
      <c r="C344" s="19"/>
      <c r="D344" s="19"/>
      <c r="E344" s="19"/>
      <c r="F344" s="20"/>
      <c r="G344" s="21"/>
      <c r="H344" s="14" t="str">
        <f aca="false">IF(OR($A344="",$D344="",$E344="",$F344=""),"",IFERROR($A344&amp;" / "&amp;IF(AND($F344=1,$D344=$E344),INDEX(Listas!$I$5:$I$25,MATCH($E344,Listas!$H$5:$H$25,0)),INDEX(Listas!$I$5:$I$25,MATCH($E344,Listas!$H$5:$H$25,0))&amp;" X "&amp;TEXT($F344,"0.####")&amp;" "&amp;INDEX(Listas!$I$5:$I$25,MATCH($D344,Listas!$H$5:$H$25,0))),"⚠ revisar la unidad"))</f>
        <v/>
      </c>
      <c r="I344" s="15" t="str">
        <f aca="false">IF(OR($F344="",$G344="",$F344=0),"",$G344/$F344)</f>
        <v/>
      </c>
      <c r="J344" s="22"/>
      <c r="K344" s="22"/>
      <c r="L344" s="22"/>
      <c r="M344" s="22"/>
      <c r="N344" s="22"/>
      <c r="O344" s="22"/>
      <c r="P344" s="23"/>
    </row>
    <row r="345" customFormat="false" ht="15" hidden="false" customHeight="false" outlineLevel="0" collapsed="false">
      <c r="A345" s="18"/>
      <c r="B345" s="19"/>
      <c r="C345" s="19"/>
      <c r="D345" s="19"/>
      <c r="E345" s="19"/>
      <c r="F345" s="20"/>
      <c r="G345" s="21"/>
      <c r="H345" s="14" t="str">
        <f aca="false">IF(OR($A345="",$D345="",$E345="",$F345=""),"",IFERROR($A345&amp;" / "&amp;IF(AND($F345=1,$D345=$E345),INDEX(Listas!$I$5:$I$25,MATCH($E345,Listas!$H$5:$H$25,0)),INDEX(Listas!$I$5:$I$25,MATCH($E345,Listas!$H$5:$H$25,0))&amp;" X "&amp;TEXT($F345,"0.####")&amp;" "&amp;INDEX(Listas!$I$5:$I$25,MATCH($D345,Listas!$H$5:$H$25,0))),"⚠ revisar la unidad"))</f>
        <v/>
      </c>
      <c r="I345" s="15" t="str">
        <f aca="false">IF(OR($F345="",$G345="",$F345=0),"",$G345/$F345)</f>
        <v/>
      </c>
      <c r="J345" s="22"/>
      <c r="K345" s="22"/>
      <c r="L345" s="22"/>
      <c r="M345" s="22"/>
      <c r="N345" s="22"/>
      <c r="O345" s="22"/>
      <c r="P345" s="23"/>
    </row>
    <row r="346" customFormat="false" ht="15" hidden="false" customHeight="false" outlineLevel="0" collapsed="false">
      <c r="A346" s="18"/>
      <c r="B346" s="19"/>
      <c r="C346" s="19"/>
      <c r="D346" s="19"/>
      <c r="E346" s="19"/>
      <c r="F346" s="20"/>
      <c r="G346" s="21"/>
      <c r="H346" s="14" t="str">
        <f aca="false">IF(OR($A346="",$D346="",$E346="",$F346=""),"",IFERROR($A346&amp;" / "&amp;IF(AND($F346=1,$D346=$E346),INDEX(Listas!$I$5:$I$25,MATCH($E346,Listas!$H$5:$H$25,0)),INDEX(Listas!$I$5:$I$25,MATCH($E346,Listas!$H$5:$H$25,0))&amp;" X "&amp;TEXT($F346,"0.####")&amp;" "&amp;INDEX(Listas!$I$5:$I$25,MATCH($D346,Listas!$H$5:$H$25,0))),"⚠ revisar la unidad"))</f>
        <v/>
      </c>
      <c r="I346" s="15" t="str">
        <f aca="false">IF(OR($F346="",$G346="",$F346=0),"",$G346/$F346)</f>
        <v/>
      </c>
      <c r="J346" s="22"/>
      <c r="K346" s="22"/>
      <c r="L346" s="22"/>
      <c r="M346" s="22"/>
      <c r="N346" s="22"/>
      <c r="O346" s="22"/>
      <c r="P346" s="23"/>
    </row>
    <row r="347" customFormat="false" ht="15" hidden="false" customHeight="false" outlineLevel="0" collapsed="false">
      <c r="A347" s="18"/>
      <c r="B347" s="19"/>
      <c r="C347" s="19"/>
      <c r="D347" s="19"/>
      <c r="E347" s="19"/>
      <c r="F347" s="20"/>
      <c r="G347" s="21"/>
      <c r="H347" s="14" t="str">
        <f aca="false">IF(OR($A347="",$D347="",$E347="",$F347=""),"",IFERROR($A347&amp;" / "&amp;IF(AND($F347=1,$D347=$E347),INDEX(Listas!$I$5:$I$25,MATCH($E347,Listas!$H$5:$H$25,0)),INDEX(Listas!$I$5:$I$25,MATCH($E347,Listas!$H$5:$H$25,0))&amp;" X "&amp;TEXT($F347,"0.####")&amp;" "&amp;INDEX(Listas!$I$5:$I$25,MATCH($D347,Listas!$H$5:$H$25,0))),"⚠ revisar la unidad"))</f>
        <v/>
      </c>
      <c r="I347" s="15" t="str">
        <f aca="false">IF(OR($F347="",$G347="",$F347=0),"",$G347/$F347)</f>
        <v/>
      </c>
      <c r="J347" s="22"/>
      <c r="K347" s="22"/>
      <c r="L347" s="22"/>
      <c r="M347" s="22"/>
      <c r="N347" s="22"/>
      <c r="O347" s="22"/>
      <c r="P347" s="23"/>
    </row>
    <row r="348" customFormat="false" ht="15" hidden="false" customHeight="false" outlineLevel="0" collapsed="false">
      <c r="A348" s="18"/>
      <c r="B348" s="19"/>
      <c r="C348" s="19"/>
      <c r="D348" s="19"/>
      <c r="E348" s="19"/>
      <c r="F348" s="20"/>
      <c r="G348" s="21"/>
      <c r="H348" s="14" t="str">
        <f aca="false">IF(OR($A348="",$D348="",$E348="",$F348=""),"",IFERROR($A348&amp;" / "&amp;IF(AND($F348=1,$D348=$E348),INDEX(Listas!$I$5:$I$25,MATCH($E348,Listas!$H$5:$H$25,0)),INDEX(Listas!$I$5:$I$25,MATCH($E348,Listas!$H$5:$H$25,0))&amp;" X "&amp;TEXT($F348,"0.####")&amp;" "&amp;INDEX(Listas!$I$5:$I$25,MATCH($D348,Listas!$H$5:$H$25,0))),"⚠ revisar la unidad"))</f>
        <v/>
      </c>
      <c r="I348" s="15" t="str">
        <f aca="false">IF(OR($F348="",$G348="",$F348=0),"",$G348/$F348)</f>
        <v/>
      </c>
      <c r="J348" s="22"/>
      <c r="K348" s="22"/>
      <c r="L348" s="22"/>
      <c r="M348" s="22"/>
      <c r="N348" s="22"/>
      <c r="O348" s="22"/>
      <c r="P348" s="23"/>
    </row>
    <row r="349" customFormat="false" ht="15" hidden="false" customHeight="false" outlineLevel="0" collapsed="false">
      <c r="A349" s="18"/>
      <c r="B349" s="19"/>
      <c r="C349" s="19"/>
      <c r="D349" s="19"/>
      <c r="E349" s="19"/>
      <c r="F349" s="20"/>
      <c r="G349" s="21"/>
      <c r="H349" s="14" t="str">
        <f aca="false">IF(OR($A349="",$D349="",$E349="",$F349=""),"",IFERROR($A349&amp;" / "&amp;IF(AND($F349=1,$D349=$E349),INDEX(Listas!$I$5:$I$25,MATCH($E349,Listas!$H$5:$H$25,0)),INDEX(Listas!$I$5:$I$25,MATCH($E349,Listas!$H$5:$H$25,0))&amp;" X "&amp;TEXT($F349,"0.####")&amp;" "&amp;INDEX(Listas!$I$5:$I$25,MATCH($D349,Listas!$H$5:$H$25,0))),"⚠ revisar la unidad"))</f>
        <v/>
      </c>
      <c r="I349" s="15" t="str">
        <f aca="false">IF(OR($F349="",$G349="",$F349=0),"",$G349/$F349)</f>
        <v/>
      </c>
      <c r="J349" s="22"/>
      <c r="K349" s="22"/>
      <c r="L349" s="22"/>
      <c r="M349" s="22"/>
      <c r="N349" s="22"/>
      <c r="O349" s="22"/>
      <c r="P349" s="23"/>
    </row>
    <row r="350" customFormat="false" ht="15" hidden="false" customHeight="false" outlineLevel="0" collapsed="false">
      <c r="A350" s="18"/>
      <c r="B350" s="19"/>
      <c r="C350" s="19"/>
      <c r="D350" s="19"/>
      <c r="E350" s="19"/>
      <c r="F350" s="20"/>
      <c r="G350" s="21"/>
      <c r="H350" s="14" t="str">
        <f aca="false">IF(OR($A350="",$D350="",$E350="",$F350=""),"",IFERROR($A350&amp;" / "&amp;IF(AND($F350=1,$D350=$E350),INDEX(Listas!$I$5:$I$25,MATCH($E350,Listas!$H$5:$H$25,0)),INDEX(Listas!$I$5:$I$25,MATCH($E350,Listas!$H$5:$H$25,0))&amp;" X "&amp;TEXT($F350,"0.####")&amp;" "&amp;INDEX(Listas!$I$5:$I$25,MATCH($D350,Listas!$H$5:$H$25,0))),"⚠ revisar la unidad"))</f>
        <v/>
      </c>
      <c r="I350" s="15" t="str">
        <f aca="false">IF(OR($F350="",$G350="",$F350=0),"",$G350/$F350)</f>
        <v/>
      </c>
      <c r="J350" s="22"/>
      <c r="K350" s="22"/>
      <c r="L350" s="22"/>
      <c r="M350" s="22"/>
      <c r="N350" s="22"/>
      <c r="O350" s="22"/>
      <c r="P350" s="23"/>
    </row>
    <row r="351" customFormat="false" ht="15" hidden="false" customHeight="false" outlineLevel="0" collapsed="false">
      <c r="A351" s="18"/>
      <c r="B351" s="19"/>
      <c r="C351" s="19"/>
      <c r="D351" s="19"/>
      <c r="E351" s="19"/>
      <c r="F351" s="20"/>
      <c r="G351" s="21"/>
      <c r="H351" s="14" t="str">
        <f aca="false">IF(OR($A351="",$D351="",$E351="",$F351=""),"",IFERROR($A351&amp;" / "&amp;IF(AND($F351=1,$D351=$E351),INDEX(Listas!$I$5:$I$25,MATCH($E351,Listas!$H$5:$H$25,0)),INDEX(Listas!$I$5:$I$25,MATCH($E351,Listas!$H$5:$H$25,0))&amp;" X "&amp;TEXT($F351,"0.####")&amp;" "&amp;INDEX(Listas!$I$5:$I$25,MATCH($D351,Listas!$H$5:$H$25,0))),"⚠ revisar la unidad"))</f>
        <v/>
      </c>
      <c r="I351" s="15" t="str">
        <f aca="false">IF(OR($F351="",$G351="",$F351=0),"",$G351/$F351)</f>
        <v/>
      </c>
      <c r="J351" s="22"/>
      <c r="K351" s="22"/>
      <c r="L351" s="22"/>
      <c r="M351" s="22"/>
      <c r="N351" s="22"/>
      <c r="O351" s="22"/>
      <c r="P351" s="23"/>
    </row>
    <row r="352" customFormat="false" ht="15" hidden="false" customHeight="false" outlineLevel="0" collapsed="false">
      <c r="A352" s="18"/>
      <c r="B352" s="19"/>
      <c r="C352" s="19"/>
      <c r="D352" s="19"/>
      <c r="E352" s="19"/>
      <c r="F352" s="20"/>
      <c r="G352" s="21"/>
      <c r="H352" s="14" t="str">
        <f aca="false">IF(OR($A352="",$D352="",$E352="",$F352=""),"",IFERROR($A352&amp;" / "&amp;IF(AND($F352=1,$D352=$E352),INDEX(Listas!$I$5:$I$25,MATCH($E352,Listas!$H$5:$H$25,0)),INDEX(Listas!$I$5:$I$25,MATCH($E352,Listas!$H$5:$H$25,0))&amp;" X "&amp;TEXT($F352,"0.####")&amp;" "&amp;INDEX(Listas!$I$5:$I$25,MATCH($D352,Listas!$H$5:$H$25,0))),"⚠ revisar la unidad"))</f>
        <v/>
      </c>
      <c r="I352" s="15" t="str">
        <f aca="false">IF(OR($F352="",$G352="",$F352=0),"",$G352/$F352)</f>
        <v/>
      </c>
      <c r="J352" s="22"/>
      <c r="K352" s="22"/>
      <c r="L352" s="22"/>
      <c r="M352" s="22"/>
      <c r="N352" s="22"/>
      <c r="O352" s="22"/>
      <c r="P352" s="23"/>
    </row>
    <row r="353" customFormat="false" ht="15" hidden="false" customHeight="false" outlineLevel="0" collapsed="false">
      <c r="A353" s="18"/>
      <c r="B353" s="19"/>
      <c r="C353" s="19"/>
      <c r="D353" s="19"/>
      <c r="E353" s="19"/>
      <c r="F353" s="20"/>
      <c r="G353" s="21"/>
      <c r="H353" s="14" t="str">
        <f aca="false">IF(OR($A353="",$D353="",$E353="",$F353=""),"",IFERROR($A353&amp;" / "&amp;IF(AND($F353=1,$D353=$E353),INDEX(Listas!$I$5:$I$25,MATCH($E353,Listas!$H$5:$H$25,0)),INDEX(Listas!$I$5:$I$25,MATCH($E353,Listas!$H$5:$H$25,0))&amp;" X "&amp;TEXT($F353,"0.####")&amp;" "&amp;INDEX(Listas!$I$5:$I$25,MATCH($D353,Listas!$H$5:$H$25,0))),"⚠ revisar la unidad"))</f>
        <v/>
      </c>
      <c r="I353" s="15" t="str">
        <f aca="false">IF(OR($F353="",$G353="",$F353=0),"",$G353/$F353)</f>
        <v/>
      </c>
      <c r="J353" s="22"/>
      <c r="K353" s="22"/>
      <c r="L353" s="22"/>
      <c r="M353" s="22"/>
      <c r="N353" s="22"/>
      <c r="O353" s="22"/>
      <c r="P353" s="23"/>
    </row>
    <row r="354" customFormat="false" ht="15" hidden="false" customHeight="false" outlineLevel="0" collapsed="false">
      <c r="A354" s="18"/>
      <c r="B354" s="19"/>
      <c r="C354" s="19"/>
      <c r="D354" s="19"/>
      <c r="E354" s="19"/>
      <c r="F354" s="20"/>
      <c r="G354" s="21"/>
      <c r="H354" s="14" t="str">
        <f aca="false">IF(OR($A354="",$D354="",$E354="",$F354=""),"",IFERROR($A354&amp;" / "&amp;IF(AND($F354=1,$D354=$E354),INDEX(Listas!$I$5:$I$25,MATCH($E354,Listas!$H$5:$H$25,0)),INDEX(Listas!$I$5:$I$25,MATCH($E354,Listas!$H$5:$H$25,0))&amp;" X "&amp;TEXT($F354,"0.####")&amp;" "&amp;INDEX(Listas!$I$5:$I$25,MATCH($D354,Listas!$H$5:$H$25,0))),"⚠ revisar la unidad"))</f>
        <v/>
      </c>
      <c r="I354" s="15" t="str">
        <f aca="false">IF(OR($F354="",$G354="",$F354=0),"",$G354/$F354)</f>
        <v/>
      </c>
      <c r="J354" s="22"/>
      <c r="K354" s="22"/>
      <c r="L354" s="22"/>
      <c r="M354" s="22"/>
      <c r="N354" s="22"/>
      <c r="O354" s="22"/>
      <c r="P354" s="23"/>
    </row>
    <row r="355" customFormat="false" ht="15" hidden="false" customHeight="false" outlineLevel="0" collapsed="false">
      <c r="A355" s="18"/>
      <c r="B355" s="19"/>
      <c r="C355" s="19"/>
      <c r="D355" s="19"/>
      <c r="E355" s="19"/>
      <c r="F355" s="20"/>
      <c r="G355" s="21"/>
      <c r="H355" s="14" t="str">
        <f aca="false">IF(OR($A355="",$D355="",$E355="",$F355=""),"",IFERROR($A355&amp;" / "&amp;IF(AND($F355=1,$D355=$E355),INDEX(Listas!$I$5:$I$25,MATCH($E355,Listas!$H$5:$H$25,0)),INDEX(Listas!$I$5:$I$25,MATCH($E355,Listas!$H$5:$H$25,0))&amp;" X "&amp;TEXT($F355,"0.####")&amp;" "&amp;INDEX(Listas!$I$5:$I$25,MATCH($D355,Listas!$H$5:$H$25,0))),"⚠ revisar la unidad"))</f>
        <v/>
      </c>
      <c r="I355" s="15" t="str">
        <f aca="false">IF(OR($F355="",$G355="",$F355=0),"",$G355/$F355)</f>
        <v/>
      </c>
      <c r="J355" s="22"/>
      <c r="K355" s="22"/>
      <c r="L355" s="22"/>
      <c r="M355" s="22"/>
      <c r="N355" s="22"/>
      <c r="O355" s="22"/>
      <c r="P355" s="23"/>
    </row>
    <row r="356" customFormat="false" ht="15" hidden="false" customHeight="false" outlineLevel="0" collapsed="false">
      <c r="A356" s="18"/>
      <c r="B356" s="19"/>
      <c r="C356" s="19"/>
      <c r="D356" s="19"/>
      <c r="E356" s="19"/>
      <c r="F356" s="20"/>
      <c r="G356" s="21"/>
      <c r="H356" s="14" t="str">
        <f aca="false">IF(OR($A356="",$D356="",$E356="",$F356=""),"",IFERROR($A356&amp;" / "&amp;IF(AND($F356=1,$D356=$E356),INDEX(Listas!$I$5:$I$25,MATCH($E356,Listas!$H$5:$H$25,0)),INDEX(Listas!$I$5:$I$25,MATCH($E356,Listas!$H$5:$H$25,0))&amp;" X "&amp;TEXT($F356,"0.####")&amp;" "&amp;INDEX(Listas!$I$5:$I$25,MATCH($D356,Listas!$H$5:$H$25,0))),"⚠ revisar la unidad"))</f>
        <v/>
      </c>
      <c r="I356" s="15" t="str">
        <f aca="false">IF(OR($F356="",$G356="",$F356=0),"",$G356/$F356)</f>
        <v/>
      </c>
      <c r="J356" s="22"/>
      <c r="K356" s="22"/>
      <c r="L356" s="22"/>
      <c r="M356" s="22"/>
      <c r="N356" s="22"/>
      <c r="O356" s="22"/>
      <c r="P356" s="23"/>
    </row>
    <row r="357" customFormat="false" ht="15" hidden="false" customHeight="false" outlineLevel="0" collapsed="false">
      <c r="A357" s="18"/>
      <c r="B357" s="19"/>
      <c r="C357" s="19"/>
      <c r="D357" s="19"/>
      <c r="E357" s="19"/>
      <c r="F357" s="20"/>
      <c r="G357" s="21"/>
      <c r="H357" s="14" t="str">
        <f aca="false">IF(OR($A357="",$D357="",$E357="",$F357=""),"",IFERROR($A357&amp;" / "&amp;IF(AND($F357=1,$D357=$E357),INDEX(Listas!$I$5:$I$25,MATCH($E357,Listas!$H$5:$H$25,0)),INDEX(Listas!$I$5:$I$25,MATCH($E357,Listas!$H$5:$H$25,0))&amp;" X "&amp;TEXT($F357,"0.####")&amp;" "&amp;INDEX(Listas!$I$5:$I$25,MATCH($D357,Listas!$H$5:$H$25,0))),"⚠ revisar la unidad"))</f>
        <v/>
      </c>
      <c r="I357" s="15" t="str">
        <f aca="false">IF(OR($F357="",$G357="",$F357=0),"",$G357/$F357)</f>
        <v/>
      </c>
      <c r="J357" s="22"/>
      <c r="K357" s="22"/>
      <c r="L357" s="22"/>
      <c r="M357" s="22"/>
      <c r="N357" s="22"/>
      <c r="O357" s="22"/>
      <c r="P357" s="23"/>
    </row>
    <row r="358" customFormat="false" ht="15" hidden="false" customHeight="false" outlineLevel="0" collapsed="false">
      <c r="A358" s="18"/>
      <c r="B358" s="19"/>
      <c r="C358" s="19"/>
      <c r="D358" s="19"/>
      <c r="E358" s="19"/>
      <c r="F358" s="20"/>
      <c r="G358" s="21"/>
      <c r="H358" s="14" t="str">
        <f aca="false">IF(OR($A358="",$D358="",$E358="",$F358=""),"",IFERROR($A358&amp;" / "&amp;IF(AND($F358=1,$D358=$E358),INDEX(Listas!$I$5:$I$25,MATCH($E358,Listas!$H$5:$H$25,0)),INDEX(Listas!$I$5:$I$25,MATCH($E358,Listas!$H$5:$H$25,0))&amp;" X "&amp;TEXT($F358,"0.####")&amp;" "&amp;INDEX(Listas!$I$5:$I$25,MATCH($D358,Listas!$H$5:$H$25,0))),"⚠ revisar la unidad"))</f>
        <v/>
      </c>
      <c r="I358" s="15" t="str">
        <f aca="false">IF(OR($F358="",$G358="",$F358=0),"",$G358/$F358)</f>
        <v/>
      </c>
      <c r="J358" s="22"/>
      <c r="K358" s="22"/>
      <c r="L358" s="22"/>
      <c r="M358" s="22"/>
      <c r="N358" s="22"/>
      <c r="O358" s="22"/>
      <c r="P358" s="23"/>
    </row>
    <row r="359" customFormat="false" ht="15" hidden="false" customHeight="false" outlineLevel="0" collapsed="false">
      <c r="A359" s="18"/>
      <c r="B359" s="19"/>
      <c r="C359" s="19"/>
      <c r="D359" s="19"/>
      <c r="E359" s="19"/>
      <c r="F359" s="20"/>
      <c r="G359" s="21"/>
      <c r="H359" s="14" t="str">
        <f aca="false">IF(OR($A359="",$D359="",$E359="",$F359=""),"",IFERROR($A359&amp;" / "&amp;IF(AND($F359=1,$D359=$E359),INDEX(Listas!$I$5:$I$25,MATCH($E359,Listas!$H$5:$H$25,0)),INDEX(Listas!$I$5:$I$25,MATCH($E359,Listas!$H$5:$H$25,0))&amp;" X "&amp;TEXT($F359,"0.####")&amp;" "&amp;INDEX(Listas!$I$5:$I$25,MATCH($D359,Listas!$H$5:$H$25,0))),"⚠ revisar la unidad"))</f>
        <v/>
      </c>
      <c r="I359" s="15" t="str">
        <f aca="false">IF(OR($F359="",$G359="",$F359=0),"",$G359/$F359)</f>
        <v/>
      </c>
      <c r="J359" s="22"/>
      <c r="K359" s="22"/>
      <c r="L359" s="22"/>
      <c r="M359" s="22"/>
      <c r="N359" s="22"/>
      <c r="O359" s="22"/>
      <c r="P359" s="23"/>
    </row>
    <row r="360" customFormat="false" ht="15" hidden="false" customHeight="false" outlineLevel="0" collapsed="false">
      <c r="A360" s="18"/>
      <c r="B360" s="19"/>
      <c r="C360" s="19"/>
      <c r="D360" s="19"/>
      <c r="E360" s="19"/>
      <c r="F360" s="20"/>
      <c r="G360" s="21"/>
      <c r="H360" s="14" t="str">
        <f aca="false">IF(OR($A360="",$D360="",$E360="",$F360=""),"",IFERROR($A360&amp;" / "&amp;IF(AND($F360=1,$D360=$E360),INDEX(Listas!$I$5:$I$25,MATCH($E360,Listas!$H$5:$H$25,0)),INDEX(Listas!$I$5:$I$25,MATCH($E360,Listas!$H$5:$H$25,0))&amp;" X "&amp;TEXT($F360,"0.####")&amp;" "&amp;INDEX(Listas!$I$5:$I$25,MATCH($D360,Listas!$H$5:$H$25,0))),"⚠ revisar la unidad"))</f>
        <v/>
      </c>
      <c r="I360" s="15" t="str">
        <f aca="false">IF(OR($F360="",$G360="",$F360=0),"",$G360/$F360)</f>
        <v/>
      </c>
      <c r="J360" s="22"/>
      <c r="K360" s="22"/>
      <c r="L360" s="22"/>
      <c r="M360" s="22"/>
      <c r="N360" s="22"/>
      <c r="O360" s="22"/>
      <c r="P360" s="23"/>
    </row>
    <row r="361" customFormat="false" ht="15" hidden="false" customHeight="false" outlineLevel="0" collapsed="false">
      <c r="A361" s="18"/>
      <c r="B361" s="19"/>
      <c r="C361" s="19"/>
      <c r="D361" s="19"/>
      <c r="E361" s="19"/>
      <c r="F361" s="20"/>
      <c r="G361" s="21"/>
      <c r="H361" s="14" t="str">
        <f aca="false">IF(OR($A361="",$D361="",$E361="",$F361=""),"",IFERROR($A361&amp;" / "&amp;IF(AND($F361=1,$D361=$E361),INDEX(Listas!$I$5:$I$25,MATCH($E361,Listas!$H$5:$H$25,0)),INDEX(Listas!$I$5:$I$25,MATCH($E361,Listas!$H$5:$H$25,0))&amp;" X "&amp;TEXT($F361,"0.####")&amp;" "&amp;INDEX(Listas!$I$5:$I$25,MATCH($D361,Listas!$H$5:$H$25,0))),"⚠ revisar la unidad"))</f>
        <v/>
      </c>
      <c r="I361" s="15" t="str">
        <f aca="false">IF(OR($F361="",$G361="",$F361=0),"",$G361/$F361)</f>
        <v/>
      </c>
      <c r="J361" s="22"/>
      <c r="K361" s="22"/>
      <c r="L361" s="22"/>
      <c r="M361" s="22"/>
      <c r="N361" s="22"/>
      <c r="O361" s="22"/>
      <c r="P361" s="23"/>
    </row>
    <row r="362" customFormat="false" ht="15" hidden="false" customHeight="false" outlineLevel="0" collapsed="false">
      <c r="A362" s="18"/>
      <c r="B362" s="19"/>
      <c r="C362" s="19"/>
      <c r="D362" s="19"/>
      <c r="E362" s="19"/>
      <c r="F362" s="20"/>
      <c r="G362" s="21"/>
      <c r="H362" s="14" t="str">
        <f aca="false">IF(OR($A362="",$D362="",$E362="",$F362=""),"",IFERROR($A362&amp;" / "&amp;IF(AND($F362=1,$D362=$E362),INDEX(Listas!$I$5:$I$25,MATCH($E362,Listas!$H$5:$H$25,0)),INDEX(Listas!$I$5:$I$25,MATCH($E362,Listas!$H$5:$H$25,0))&amp;" X "&amp;TEXT($F362,"0.####")&amp;" "&amp;INDEX(Listas!$I$5:$I$25,MATCH($D362,Listas!$H$5:$H$25,0))),"⚠ revisar la unidad"))</f>
        <v/>
      </c>
      <c r="I362" s="15" t="str">
        <f aca="false">IF(OR($F362="",$G362="",$F362=0),"",$G362/$F362)</f>
        <v/>
      </c>
      <c r="J362" s="22"/>
      <c r="K362" s="22"/>
      <c r="L362" s="22"/>
      <c r="M362" s="22"/>
      <c r="N362" s="22"/>
      <c r="O362" s="22"/>
      <c r="P362" s="23"/>
    </row>
    <row r="363" customFormat="false" ht="15" hidden="false" customHeight="false" outlineLevel="0" collapsed="false">
      <c r="A363" s="18"/>
      <c r="B363" s="19"/>
      <c r="C363" s="19"/>
      <c r="D363" s="19"/>
      <c r="E363" s="19"/>
      <c r="F363" s="20"/>
      <c r="G363" s="21"/>
      <c r="H363" s="14" t="str">
        <f aca="false">IF(OR($A363="",$D363="",$E363="",$F363=""),"",IFERROR($A363&amp;" / "&amp;IF(AND($F363=1,$D363=$E363),INDEX(Listas!$I$5:$I$25,MATCH($E363,Listas!$H$5:$H$25,0)),INDEX(Listas!$I$5:$I$25,MATCH($E363,Listas!$H$5:$H$25,0))&amp;" X "&amp;TEXT($F363,"0.####")&amp;" "&amp;INDEX(Listas!$I$5:$I$25,MATCH($D363,Listas!$H$5:$H$25,0))),"⚠ revisar la unidad"))</f>
        <v/>
      </c>
      <c r="I363" s="15" t="str">
        <f aca="false">IF(OR($F363="",$G363="",$F363=0),"",$G363/$F363)</f>
        <v/>
      </c>
      <c r="J363" s="22"/>
      <c r="K363" s="22"/>
      <c r="L363" s="22"/>
      <c r="M363" s="22"/>
      <c r="N363" s="22"/>
      <c r="O363" s="22"/>
      <c r="P363" s="23"/>
    </row>
    <row r="364" customFormat="false" ht="15" hidden="false" customHeight="false" outlineLevel="0" collapsed="false">
      <c r="A364" s="18"/>
      <c r="B364" s="19"/>
      <c r="C364" s="19"/>
      <c r="D364" s="19"/>
      <c r="E364" s="19"/>
      <c r="F364" s="20"/>
      <c r="G364" s="21"/>
      <c r="H364" s="14" t="str">
        <f aca="false">IF(OR($A364="",$D364="",$E364="",$F364=""),"",IFERROR($A364&amp;" / "&amp;IF(AND($F364=1,$D364=$E364),INDEX(Listas!$I$5:$I$25,MATCH($E364,Listas!$H$5:$H$25,0)),INDEX(Listas!$I$5:$I$25,MATCH($E364,Listas!$H$5:$H$25,0))&amp;" X "&amp;TEXT($F364,"0.####")&amp;" "&amp;INDEX(Listas!$I$5:$I$25,MATCH($D364,Listas!$H$5:$H$25,0))),"⚠ revisar la unidad"))</f>
        <v/>
      </c>
      <c r="I364" s="15" t="str">
        <f aca="false">IF(OR($F364="",$G364="",$F364=0),"",$G364/$F364)</f>
        <v/>
      </c>
      <c r="J364" s="22"/>
      <c r="K364" s="22"/>
      <c r="L364" s="22"/>
      <c r="M364" s="22"/>
      <c r="N364" s="22"/>
      <c r="O364" s="22"/>
      <c r="P364" s="23"/>
    </row>
    <row r="365" customFormat="false" ht="15" hidden="false" customHeight="false" outlineLevel="0" collapsed="false">
      <c r="A365" s="18"/>
      <c r="B365" s="19"/>
      <c r="C365" s="19"/>
      <c r="D365" s="19"/>
      <c r="E365" s="19"/>
      <c r="F365" s="20"/>
      <c r="G365" s="21"/>
      <c r="H365" s="14" t="str">
        <f aca="false">IF(OR($A365="",$D365="",$E365="",$F365=""),"",IFERROR($A365&amp;" / "&amp;IF(AND($F365=1,$D365=$E365),INDEX(Listas!$I$5:$I$25,MATCH($E365,Listas!$H$5:$H$25,0)),INDEX(Listas!$I$5:$I$25,MATCH($E365,Listas!$H$5:$H$25,0))&amp;" X "&amp;TEXT($F365,"0.####")&amp;" "&amp;INDEX(Listas!$I$5:$I$25,MATCH($D365,Listas!$H$5:$H$25,0))),"⚠ revisar la unidad"))</f>
        <v/>
      </c>
      <c r="I365" s="15" t="str">
        <f aca="false">IF(OR($F365="",$G365="",$F365=0),"",$G365/$F365)</f>
        <v/>
      </c>
      <c r="J365" s="22"/>
      <c r="K365" s="22"/>
      <c r="L365" s="22"/>
      <c r="M365" s="22"/>
      <c r="N365" s="22"/>
      <c r="O365" s="22"/>
      <c r="P365" s="23"/>
    </row>
    <row r="366" customFormat="false" ht="15" hidden="false" customHeight="false" outlineLevel="0" collapsed="false">
      <c r="A366" s="18"/>
      <c r="B366" s="19"/>
      <c r="C366" s="19"/>
      <c r="D366" s="19"/>
      <c r="E366" s="19"/>
      <c r="F366" s="20"/>
      <c r="G366" s="21"/>
      <c r="H366" s="14" t="str">
        <f aca="false">IF(OR($A366="",$D366="",$E366="",$F366=""),"",IFERROR($A366&amp;" / "&amp;IF(AND($F366=1,$D366=$E366),INDEX(Listas!$I$5:$I$25,MATCH($E366,Listas!$H$5:$H$25,0)),INDEX(Listas!$I$5:$I$25,MATCH($E366,Listas!$H$5:$H$25,0))&amp;" X "&amp;TEXT($F366,"0.####")&amp;" "&amp;INDEX(Listas!$I$5:$I$25,MATCH($D366,Listas!$H$5:$H$25,0))),"⚠ revisar la unidad"))</f>
        <v/>
      </c>
      <c r="I366" s="15" t="str">
        <f aca="false">IF(OR($F366="",$G366="",$F366=0),"",$G366/$F366)</f>
        <v/>
      </c>
      <c r="J366" s="22"/>
      <c r="K366" s="22"/>
      <c r="L366" s="22"/>
      <c r="M366" s="22"/>
      <c r="N366" s="22"/>
      <c r="O366" s="22"/>
      <c r="P366" s="23"/>
    </row>
    <row r="367" customFormat="false" ht="15" hidden="false" customHeight="false" outlineLevel="0" collapsed="false">
      <c r="A367" s="18"/>
      <c r="B367" s="19"/>
      <c r="C367" s="19"/>
      <c r="D367" s="19"/>
      <c r="E367" s="19"/>
      <c r="F367" s="20"/>
      <c r="G367" s="21"/>
      <c r="H367" s="14" t="str">
        <f aca="false">IF(OR($A367="",$D367="",$E367="",$F367=""),"",IFERROR($A367&amp;" / "&amp;IF(AND($F367=1,$D367=$E367),INDEX(Listas!$I$5:$I$25,MATCH($E367,Listas!$H$5:$H$25,0)),INDEX(Listas!$I$5:$I$25,MATCH($E367,Listas!$H$5:$H$25,0))&amp;" X "&amp;TEXT($F367,"0.####")&amp;" "&amp;INDEX(Listas!$I$5:$I$25,MATCH($D367,Listas!$H$5:$H$25,0))),"⚠ revisar la unidad"))</f>
        <v/>
      </c>
      <c r="I367" s="15" t="str">
        <f aca="false">IF(OR($F367="",$G367="",$F367=0),"",$G367/$F367)</f>
        <v/>
      </c>
      <c r="J367" s="22"/>
      <c r="K367" s="22"/>
      <c r="L367" s="22"/>
      <c r="M367" s="22"/>
      <c r="N367" s="22"/>
      <c r="O367" s="22"/>
      <c r="P367" s="23"/>
    </row>
    <row r="368" customFormat="false" ht="15" hidden="false" customHeight="false" outlineLevel="0" collapsed="false">
      <c r="A368" s="18"/>
      <c r="B368" s="19"/>
      <c r="C368" s="19"/>
      <c r="D368" s="19"/>
      <c r="E368" s="19"/>
      <c r="F368" s="20"/>
      <c r="G368" s="21"/>
      <c r="H368" s="14" t="str">
        <f aca="false">IF(OR($A368="",$D368="",$E368="",$F368=""),"",IFERROR($A368&amp;" / "&amp;IF(AND($F368=1,$D368=$E368),INDEX(Listas!$I$5:$I$25,MATCH($E368,Listas!$H$5:$H$25,0)),INDEX(Listas!$I$5:$I$25,MATCH($E368,Listas!$H$5:$H$25,0))&amp;" X "&amp;TEXT($F368,"0.####")&amp;" "&amp;INDEX(Listas!$I$5:$I$25,MATCH($D368,Listas!$H$5:$H$25,0))),"⚠ revisar la unidad"))</f>
        <v/>
      </c>
      <c r="I368" s="15" t="str">
        <f aca="false">IF(OR($F368="",$G368="",$F368=0),"",$G368/$F368)</f>
        <v/>
      </c>
      <c r="J368" s="22"/>
      <c r="K368" s="22"/>
      <c r="L368" s="22"/>
      <c r="M368" s="22"/>
      <c r="N368" s="22"/>
      <c r="O368" s="22"/>
      <c r="P368" s="23"/>
    </row>
    <row r="369" customFormat="false" ht="15" hidden="false" customHeight="false" outlineLevel="0" collapsed="false">
      <c r="A369" s="18"/>
      <c r="B369" s="19"/>
      <c r="C369" s="19"/>
      <c r="D369" s="19"/>
      <c r="E369" s="19"/>
      <c r="F369" s="20"/>
      <c r="G369" s="21"/>
      <c r="H369" s="14" t="str">
        <f aca="false">IF(OR($A369="",$D369="",$E369="",$F369=""),"",IFERROR($A369&amp;" / "&amp;IF(AND($F369=1,$D369=$E369),INDEX(Listas!$I$5:$I$25,MATCH($E369,Listas!$H$5:$H$25,0)),INDEX(Listas!$I$5:$I$25,MATCH($E369,Listas!$H$5:$H$25,0))&amp;" X "&amp;TEXT($F369,"0.####")&amp;" "&amp;INDEX(Listas!$I$5:$I$25,MATCH($D369,Listas!$H$5:$H$25,0))),"⚠ revisar la unidad"))</f>
        <v/>
      </c>
      <c r="I369" s="15" t="str">
        <f aca="false">IF(OR($F369="",$G369="",$F369=0),"",$G369/$F369)</f>
        <v/>
      </c>
      <c r="J369" s="22"/>
      <c r="K369" s="22"/>
      <c r="L369" s="22"/>
      <c r="M369" s="22"/>
      <c r="N369" s="22"/>
      <c r="O369" s="22"/>
      <c r="P369" s="23"/>
    </row>
    <row r="370" customFormat="false" ht="15" hidden="false" customHeight="false" outlineLevel="0" collapsed="false">
      <c r="A370" s="18"/>
      <c r="B370" s="19"/>
      <c r="C370" s="19"/>
      <c r="D370" s="19"/>
      <c r="E370" s="19"/>
      <c r="F370" s="20"/>
      <c r="G370" s="21"/>
      <c r="H370" s="14" t="str">
        <f aca="false">IF(OR($A370="",$D370="",$E370="",$F370=""),"",IFERROR($A370&amp;" / "&amp;IF(AND($F370=1,$D370=$E370),INDEX(Listas!$I$5:$I$25,MATCH($E370,Listas!$H$5:$H$25,0)),INDEX(Listas!$I$5:$I$25,MATCH($E370,Listas!$H$5:$H$25,0))&amp;" X "&amp;TEXT($F370,"0.####")&amp;" "&amp;INDEX(Listas!$I$5:$I$25,MATCH($D370,Listas!$H$5:$H$25,0))),"⚠ revisar la unidad"))</f>
        <v/>
      </c>
      <c r="I370" s="15" t="str">
        <f aca="false">IF(OR($F370="",$G370="",$F370=0),"",$G370/$F370)</f>
        <v/>
      </c>
      <c r="J370" s="22"/>
      <c r="K370" s="22"/>
      <c r="L370" s="22"/>
      <c r="M370" s="22"/>
      <c r="N370" s="22"/>
      <c r="O370" s="22"/>
      <c r="P370" s="23"/>
    </row>
    <row r="371" customFormat="false" ht="15" hidden="false" customHeight="false" outlineLevel="0" collapsed="false">
      <c r="A371" s="18"/>
      <c r="B371" s="19"/>
      <c r="C371" s="19"/>
      <c r="D371" s="19"/>
      <c r="E371" s="19"/>
      <c r="F371" s="20"/>
      <c r="G371" s="21"/>
      <c r="H371" s="14" t="str">
        <f aca="false">IF(OR($A371="",$D371="",$E371="",$F371=""),"",IFERROR($A371&amp;" / "&amp;IF(AND($F371=1,$D371=$E371),INDEX(Listas!$I$5:$I$25,MATCH($E371,Listas!$H$5:$H$25,0)),INDEX(Listas!$I$5:$I$25,MATCH($E371,Listas!$H$5:$H$25,0))&amp;" X "&amp;TEXT($F371,"0.####")&amp;" "&amp;INDEX(Listas!$I$5:$I$25,MATCH($D371,Listas!$H$5:$H$25,0))),"⚠ revisar la unidad"))</f>
        <v/>
      </c>
      <c r="I371" s="15" t="str">
        <f aca="false">IF(OR($F371="",$G371="",$F371=0),"",$G371/$F371)</f>
        <v/>
      </c>
      <c r="J371" s="22"/>
      <c r="K371" s="22"/>
      <c r="L371" s="22"/>
      <c r="M371" s="22"/>
      <c r="N371" s="22"/>
      <c r="O371" s="22"/>
      <c r="P371" s="23"/>
    </row>
    <row r="372" customFormat="false" ht="15" hidden="false" customHeight="false" outlineLevel="0" collapsed="false">
      <c r="A372" s="18"/>
      <c r="B372" s="19"/>
      <c r="C372" s="19"/>
      <c r="D372" s="19"/>
      <c r="E372" s="19"/>
      <c r="F372" s="20"/>
      <c r="G372" s="21"/>
      <c r="H372" s="14" t="str">
        <f aca="false">IF(OR($A372="",$D372="",$E372="",$F372=""),"",IFERROR($A372&amp;" / "&amp;IF(AND($F372=1,$D372=$E372),INDEX(Listas!$I$5:$I$25,MATCH($E372,Listas!$H$5:$H$25,0)),INDEX(Listas!$I$5:$I$25,MATCH($E372,Listas!$H$5:$H$25,0))&amp;" X "&amp;TEXT($F372,"0.####")&amp;" "&amp;INDEX(Listas!$I$5:$I$25,MATCH($D372,Listas!$H$5:$H$25,0))),"⚠ revisar la unidad"))</f>
        <v/>
      </c>
      <c r="I372" s="15" t="str">
        <f aca="false">IF(OR($F372="",$G372="",$F372=0),"",$G372/$F372)</f>
        <v/>
      </c>
      <c r="J372" s="22"/>
      <c r="K372" s="22"/>
      <c r="L372" s="22"/>
      <c r="M372" s="22"/>
      <c r="N372" s="22"/>
      <c r="O372" s="22"/>
      <c r="P372" s="23"/>
    </row>
    <row r="373" customFormat="false" ht="15" hidden="false" customHeight="false" outlineLevel="0" collapsed="false">
      <c r="A373" s="18"/>
      <c r="B373" s="19"/>
      <c r="C373" s="19"/>
      <c r="D373" s="19"/>
      <c r="E373" s="19"/>
      <c r="F373" s="20"/>
      <c r="G373" s="21"/>
      <c r="H373" s="14" t="str">
        <f aca="false">IF(OR($A373="",$D373="",$E373="",$F373=""),"",IFERROR($A373&amp;" / "&amp;IF(AND($F373=1,$D373=$E373),INDEX(Listas!$I$5:$I$25,MATCH($E373,Listas!$H$5:$H$25,0)),INDEX(Listas!$I$5:$I$25,MATCH($E373,Listas!$H$5:$H$25,0))&amp;" X "&amp;TEXT($F373,"0.####")&amp;" "&amp;INDEX(Listas!$I$5:$I$25,MATCH($D373,Listas!$H$5:$H$25,0))),"⚠ revisar la unidad"))</f>
        <v/>
      </c>
      <c r="I373" s="15" t="str">
        <f aca="false">IF(OR($F373="",$G373="",$F373=0),"",$G373/$F373)</f>
        <v/>
      </c>
      <c r="J373" s="22"/>
      <c r="K373" s="22"/>
      <c r="L373" s="22"/>
      <c r="M373" s="22"/>
      <c r="N373" s="22"/>
      <c r="O373" s="22"/>
      <c r="P373" s="23"/>
    </row>
    <row r="374" customFormat="false" ht="15" hidden="false" customHeight="false" outlineLevel="0" collapsed="false">
      <c r="A374" s="18"/>
      <c r="B374" s="19"/>
      <c r="C374" s="19"/>
      <c r="D374" s="19"/>
      <c r="E374" s="19"/>
      <c r="F374" s="20"/>
      <c r="G374" s="21"/>
      <c r="H374" s="14" t="str">
        <f aca="false">IF(OR($A374="",$D374="",$E374="",$F374=""),"",IFERROR($A374&amp;" / "&amp;IF(AND($F374=1,$D374=$E374),INDEX(Listas!$I$5:$I$25,MATCH($E374,Listas!$H$5:$H$25,0)),INDEX(Listas!$I$5:$I$25,MATCH($E374,Listas!$H$5:$H$25,0))&amp;" X "&amp;TEXT($F374,"0.####")&amp;" "&amp;INDEX(Listas!$I$5:$I$25,MATCH($D374,Listas!$H$5:$H$25,0))),"⚠ revisar la unidad"))</f>
        <v/>
      </c>
      <c r="I374" s="15" t="str">
        <f aca="false">IF(OR($F374="",$G374="",$F374=0),"",$G374/$F374)</f>
        <v/>
      </c>
      <c r="J374" s="22"/>
      <c r="K374" s="22"/>
      <c r="L374" s="22"/>
      <c r="M374" s="22"/>
      <c r="N374" s="22"/>
      <c r="O374" s="22"/>
      <c r="P374" s="23"/>
    </row>
    <row r="375" customFormat="false" ht="15" hidden="false" customHeight="false" outlineLevel="0" collapsed="false">
      <c r="A375" s="18"/>
      <c r="B375" s="19"/>
      <c r="C375" s="19"/>
      <c r="D375" s="19"/>
      <c r="E375" s="19"/>
      <c r="F375" s="20"/>
      <c r="G375" s="21"/>
      <c r="H375" s="14" t="str">
        <f aca="false">IF(OR($A375="",$D375="",$E375="",$F375=""),"",IFERROR($A375&amp;" / "&amp;IF(AND($F375=1,$D375=$E375),INDEX(Listas!$I$5:$I$25,MATCH($E375,Listas!$H$5:$H$25,0)),INDEX(Listas!$I$5:$I$25,MATCH($E375,Listas!$H$5:$H$25,0))&amp;" X "&amp;TEXT($F375,"0.####")&amp;" "&amp;INDEX(Listas!$I$5:$I$25,MATCH($D375,Listas!$H$5:$H$25,0))),"⚠ revisar la unidad"))</f>
        <v/>
      </c>
      <c r="I375" s="15" t="str">
        <f aca="false">IF(OR($F375="",$G375="",$F375=0),"",$G375/$F375)</f>
        <v/>
      </c>
      <c r="J375" s="22"/>
      <c r="K375" s="22"/>
      <c r="L375" s="22"/>
      <c r="M375" s="22"/>
      <c r="N375" s="22"/>
      <c r="O375" s="22"/>
      <c r="P375" s="23"/>
    </row>
    <row r="376" customFormat="false" ht="15" hidden="false" customHeight="false" outlineLevel="0" collapsed="false">
      <c r="A376" s="18"/>
      <c r="B376" s="19"/>
      <c r="C376" s="19"/>
      <c r="D376" s="19"/>
      <c r="E376" s="19"/>
      <c r="F376" s="20"/>
      <c r="G376" s="21"/>
      <c r="H376" s="14" t="str">
        <f aca="false">IF(OR($A376="",$D376="",$E376="",$F376=""),"",IFERROR($A376&amp;" / "&amp;IF(AND($F376=1,$D376=$E376),INDEX(Listas!$I$5:$I$25,MATCH($E376,Listas!$H$5:$H$25,0)),INDEX(Listas!$I$5:$I$25,MATCH($E376,Listas!$H$5:$H$25,0))&amp;" X "&amp;TEXT($F376,"0.####")&amp;" "&amp;INDEX(Listas!$I$5:$I$25,MATCH($D376,Listas!$H$5:$H$25,0))),"⚠ revisar la unidad"))</f>
        <v/>
      </c>
      <c r="I376" s="15" t="str">
        <f aca="false">IF(OR($F376="",$G376="",$F376=0),"",$G376/$F376)</f>
        <v/>
      </c>
      <c r="J376" s="22"/>
      <c r="K376" s="22"/>
      <c r="L376" s="22"/>
      <c r="M376" s="22"/>
      <c r="N376" s="22"/>
      <c r="O376" s="22"/>
      <c r="P376" s="23"/>
    </row>
    <row r="377" customFormat="false" ht="15" hidden="false" customHeight="false" outlineLevel="0" collapsed="false">
      <c r="A377" s="18"/>
      <c r="B377" s="19"/>
      <c r="C377" s="19"/>
      <c r="D377" s="19"/>
      <c r="E377" s="19"/>
      <c r="F377" s="20"/>
      <c r="G377" s="21"/>
      <c r="H377" s="14" t="str">
        <f aca="false">IF(OR($A377="",$D377="",$E377="",$F377=""),"",IFERROR($A377&amp;" / "&amp;IF(AND($F377=1,$D377=$E377),INDEX(Listas!$I$5:$I$25,MATCH($E377,Listas!$H$5:$H$25,0)),INDEX(Listas!$I$5:$I$25,MATCH($E377,Listas!$H$5:$H$25,0))&amp;" X "&amp;TEXT($F377,"0.####")&amp;" "&amp;INDEX(Listas!$I$5:$I$25,MATCH($D377,Listas!$H$5:$H$25,0))),"⚠ revisar la unidad"))</f>
        <v/>
      </c>
      <c r="I377" s="15" t="str">
        <f aca="false">IF(OR($F377="",$G377="",$F377=0),"",$G377/$F377)</f>
        <v/>
      </c>
      <c r="J377" s="22"/>
      <c r="K377" s="22"/>
      <c r="L377" s="22"/>
      <c r="M377" s="22"/>
      <c r="N377" s="22"/>
      <c r="O377" s="22"/>
      <c r="P377" s="23"/>
    </row>
    <row r="378" customFormat="false" ht="15" hidden="false" customHeight="false" outlineLevel="0" collapsed="false">
      <c r="A378" s="18"/>
      <c r="B378" s="19"/>
      <c r="C378" s="19"/>
      <c r="D378" s="19"/>
      <c r="E378" s="19"/>
      <c r="F378" s="20"/>
      <c r="G378" s="21"/>
      <c r="H378" s="14" t="str">
        <f aca="false">IF(OR($A378="",$D378="",$E378="",$F378=""),"",IFERROR($A378&amp;" / "&amp;IF(AND($F378=1,$D378=$E378),INDEX(Listas!$I$5:$I$25,MATCH($E378,Listas!$H$5:$H$25,0)),INDEX(Listas!$I$5:$I$25,MATCH($E378,Listas!$H$5:$H$25,0))&amp;" X "&amp;TEXT($F378,"0.####")&amp;" "&amp;INDEX(Listas!$I$5:$I$25,MATCH($D378,Listas!$H$5:$H$25,0))),"⚠ revisar la unidad"))</f>
        <v/>
      </c>
      <c r="I378" s="15" t="str">
        <f aca="false">IF(OR($F378="",$G378="",$F378=0),"",$G378/$F378)</f>
        <v/>
      </c>
      <c r="J378" s="22"/>
      <c r="K378" s="22"/>
      <c r="L378" s="22"/>
      <c r="M378" s="22"/>
      <c r="N378" s="22"/>
      <c r="O378" s="22"/>
      <c r="P378" s="23"/>
    </row>
    <row r="379" customFormat="false" ht="15" hidden="false" customHeight="false" outlineLevel="0" collapsed="false">
      <c r="A379" s="18"/>
      <c r="B379" s="19"/>
      <c r="C379" s="19"/>
      <c r="D379" s="19"/>
      <c r="E379" s="19"/>
      <c r="F379" s="20"/>
      <c r="G379" s="21"/>
      <c r="H379" s="14" t="str">
        <f aca="false">IF(OR($A379="",$D379="",$E379="",$F379=""),"",IFERROR($A379&amp;" / "&amp;IF(AND($F379=1,$D379=$E379),INDEX(Listas!$I$5:$I$25,MATCH($E379,Listas!$H$5:$H$25,0)),INDEX(Listas!$I$5:$I$25,MATCH($E379,Listas!$H$5:$H$25,0))&amp;" X "&amp;TEXT($F379,"0.####")&amp;" "&amp;INDEX(Listas!$I$5:$I$25,MATCH($D379,Listas!$H$5:$H$25,0))),"⚠ revisar la unidad"))</f>
        <v/>
      </c>
      <c r="I379" s="15" t="str">
        <f aca="false">IF(OR($F379="",$G379="",$F379=0),"",$G379/$F379)</f>
        <v/>
      </c>
      <c r="J379" s="22"/>
      <c r="K379" s="22"/>
      <c r="L379" s="22"/>
      <c r="M379" s="22"/>
      <c r="N379" s="22"/>
      <c r="O379" s="22"/>
      <c r="P379" s="23"/>
    </row>
    <row r="380" customFormat="false" ht="15" hidden="false" customHeight="false" outlineLevel="0" collapsed="false">
      <c r="A380" s="18"/>
      <c r="B380" s="19"/>
      <c r="C380" s="19"/>
      <c r="D380" s="19"/>
      <c r="E380" s="19"/>
      <c r="F380" s="20"/>
      <c r="G380" s="21"/>
      <c r="H380" s="14" t="str">
        <f aca="false">IF(OR($A380="",$D380="",$E380="",$F380=""),"",IFERROR($A380&amp;" / "&amp;IF(AND($F380=1,$D380=$E380),INDEX(Listas!$I$5:$I$25,MATCH($E380,Listas!$H$5:$H$25,0)),INDEX(Listas!$I$5:$I$25,MATCH($E380,Listas!$H$5:$H$25,0))&amp;" X "&amp;TEXT($F380,"0.####")&amp;" "&amp;INDEX(Listas!$I$5:$I$25,MATCH($D380,Listas!$H$5:$H$25,0))),"⚠ revisar la unidad"))</f>
        <v/>
      </c>
      <c r="I380" s="15" t="str">
        <f aca="false">IF(OR($F380="",$G380="",$F380=0),"",$G380/$F380)</f>
        <v/>
      </c>
      <c r="J380" s="22"/>
      <c r="K380" s="22"/>
      <c r="L380" s="22"/>
      <c r="M380" s="22"/>
      <c r="N380" s="22"/>
      <c r="O380" s="22"/>
      <c r="P380" s="23"/>
    </row>
    <row r="381" customFormat="false" ht="15" hidden="false" customHeight="false" outlineLevel="0" collapsed="false">
      <c r="A381" s="18"/>
      <c r="B381" s="19"/>
      <c r="C381" s="19"/>
      <c r="D381" s="19"/>
      <c r="E381" s="19"/>
      <c r="F381" s="20"/>
      <c r="G381" s="21"/>
      <c r="H381" s="14" t="str">
        <f aca="false">IF(OR($A381="",$D381="",$E381="",$F381=""),"",IFERROR($A381&amp;" / "&amp;IF(AND($F381=1,$D381=$E381),INDEX(Listas!$I$5:$I$25,MATCH($E381,Listas!$H$5:$H$25,0)),INDEX(Listas!$I$5:$I$25,MATCH($E381,Listas!$H$5:$H$25,0))&amp;" X "&amp;TEXT($F381,"0.####")&amp;" "&amp;INDEX(Listas!$I$5:$I$25,MATCH($D381,Listas!$H$5:$H$25,0))),"⚠ revisar la unidad"))</f>
        <v/>
      </c>
      <c r="I381" s="15" t="str">
        <f aca="false">IF(OR($F381="",$G381="",$F381=0),"",$G381/$F381)</f>
        <v/>
      </c>
      <c r="J381" s="22"/>
      <c r="K381" s="22"/>
      <c r="L381" s="22"/>
      <c r="M381" s="22"/>
      <c r="N381" s="22"/>
      <c r="O381" s="22"/>
      <c r="P381" s="23"/>
    </row>
    <row r="382" customFormat="false" ht="15" hidden="false" customHeight="false" outlineLevel="0" collapsed="false">
      <c r="A382" s="18"/>
      <c r="B382" s="19"/>
      <c r="C382" s="19"/>
      <c r="D382" s="19"/>
      <c r="E382" s="19"/>
      <c r="F382" s="20"/>
      <c r="G382" s="21"/>
      <c r="H382" s="14" t="str">
        <f aca="false">IF(OR($A382="",$D382="",$E382="",$F382=""),"",IFERROR($A382&amp;" / "&amp;IF(AND($F382=1,$D382=$E382),INDEX(Listas!$I$5:$I$25,MATCH($E382,Listas!$H$5:$H$25,0)),INDEX(Listas!$I$5:$I$25,MATCH($E382,Listas!$H$5:$H$25,0))&amp;" X "&amp;TEXT($F382,"0.####")&amp;" "&amp;INDEX(Listas!$I$5:$I$25,MATCH($D382,Listas!$H$5:$H$25,0))),"⚠ revisar la unidad"))</f>
        <v/>
      </c>
      <c r="I382" s="15" t="str">
        <f aca="false">IF(OR($F382="",$G382="",$F382=0),"",$G382/$F382)</f>
        <v/>
      </c>
      <c r="J382" s="22"/>
      <c r="K382" s="22"/>
      <c r="L382" s="22"/>
      <c r="M382" s="22"/>
      <c r="N382" s="22"/>
      <c r="O382" s="22"/>
      <c r="P382" s="23"/>
    </row>
    <row r="383" customFormat="false" ht="15" hidden="false" customHeight="false" outlineLevel="0" collapsed="false">
      <c r="A383" s="18"/>
      <c r="B383" s="19"/>
      <c r="C383" s="19"/>
      <c r="D383" s="19"/>
      <c r="E383" s="19"/>
      <c r="F383" s="20"/>
      <c r="G383" s="21"/>
      <c r="H383" s="14" t="str">
        <f aca="false">IF(OR($A383="",$D383="",$E383="",$F383=""),"",IFERROR($A383&amp;" / "&amp;IF(AND($F383=1,$D383=$E383),INDEX(Listas!$I$5:$I$25,MATCH($E383,Listas!$H$5:$H$25,0)),INDEX(Listas!$I$5:$I$25,MATCH($E383,Listas!$H$5:$H$25,0))&amp;" X "&amp;TEXT($F383,"0.####")&amp;" "&amp;INDEX(Listas!$I$5:$I$25,MATCH($D383,Listas!$H$5:$H$25,0))),"⚠ revisar la unidad"))</f>
        <v/>
      </c>
      <c r="I383" s="15" t="str">
        <f aca="false">IF(OR($F383="",$G383="",$F383=0),"",$G383/$F383)</f>
        <v/>
      </c>
      <c r="J383" s="22"/>
      <c r="K383" s="22"/>
      <c r="L383" s="22"/>
      <c r="M383" s="22"/>
      <c r="N383" s="22"/>
      <c r="O383" s="22"/>
      <c r="P383" s="23"/>
    </row>
    <row r="384" customFormat="false" ht="15" hidden="false" customHeight="false" outlineLevel="0" collapsed="false">
      <c r="A384" s="18"/>
      <c r="B384" s="19"/>
      <c r="C384" s="19"/>
      <c r="D384" s="19"/>
      <c r="E384" s="19"/>
      <c r="F384" s="20"/>
      <c r="G384" s="21"/>
      <c r="H384" s="14" t="str">
        <f aca="false">IF(OR($A384="",$D384="",$E384="",$F384=""),"",IFERROR($A384&amp;" / "&amp;IF(AND($F384=1,$D384=$E384),INDEX(Listas!$I$5:$I$25,MATCH($E384,Listas!$H$5:$H$25,0)),INDEX(Listas!$I$5:$I$25,MATCH($E384,Listas!$H$5:$H$25,0))&amp;" X "&amp;TEXT($F384,"0.####")&amp;" "&amp;INDEX(Listas!$I$5:$I$25,MATCH($D384,Listas!$H$5:$H$25,0))),"⚠ revisar la unidad"))</f>
        <v/>
      </c>
      <c r="I384" s="15" t="str">
        <f aca="false">IF(OR($F384="",$G384="",$F384=0),"",$G384/$F384)</f>
        <v/>
      </c>
      <c r="J384" s="22"/>
      <c r="K384" s="22"/>
      <c r="L384" s="22"/>
      <c r="M384" s="22"/>
      <c r="N384" s="22"/>
      <c r="O384" s="22"/>
      <c r="P384" s="23"/>
    </row>
    <row r="385" customFormat="false" ht="15" hidden="false" customHeight="false" outlineLevel="0" collapsed="false">
      <c r="A385" s="18"/>
      <c r="B385" s="19"/>
      <c r="C385" s="19"/>
      <c r="D385" s="19"/>
      <c r="E385" s="19"/>
      <c r="F385" s="20"/>
      <c r="G385" s="21"/>
      <c r="H385" s="14" t="str">
        <f aca="false">IF(OR($A385="",$D385="",$E385="",$F385=""),"",IFERROR($A385&amp;" / "&amp;IF(AND($F385=1,$D385=$E385),INDEX(Listas!$I$5:$I$25,MATCH($E385,Listas!$H$5:$H$25,0)),INDEX(Listas!$I$5:$I$25,MATCH($E385,Listas!$H$5:$H$25,0))&amp;" X "&amp;TEXT($F385,"0.####")&amp;" "&amp;INDEX(Listas!$I$5:$I$25,MATCH($D385,Listas!$H$5:$H$25,0))),"⚠ revisar la unidad"))</f>
        <v/>
      </c>
      <c r="I385" s="15" t="str">
        <f aca="false">IF(OR($F385="",$G385="",$F385=0),"",$G385/$F385)</f>
        <v/>
      </c>
      <c r="J385" s="22"/>
      <c r="K385" s="22"/>
      <c r="L385" s="22"/>
      <c r="M385" s="22"/>
      <c r="N385" s="22"/>
      <c r="O385" s="22"/>
      <c r="P385" s="23"/>
    </row>
    <row r="386" customFormat="false" ht="15" hidden="false" customHeight="false" outlineLevel="0" collapsed="false">
      <c r="A386" s="18"/>
      <c r="B386" s="19"/>
      <c r="C386" s="19"/>
      <c r="D386" s="19"/>
      <c r="E386" s="19"/>
      <c r="F386" s="20"/>
      <c r="G386" s="21"/>
      <c r="H386" s="14" t="str">
        <f aca="false">IF(OR($A386="",$D386="",$E386="",$F386=""),"",IFERROR($A386&amp;" / "&amp;IF(AND($F386=1,$D386=$E386),INDEX(Listas!$I$5:$I$25,MATCH($E386,Listas!$H$5:$H$25,0)),INDEX(Listas!$I$5:$I$25,MATCH($E386,Listas!$H$5:$H$25,0))&amp;" X "&amp;TEXT($F386,"0.####")&amp;" "&amp;INDEX(Listas!$I$5:$I$25,MATCH($D386,Listas!$H$5:$H$25,0))),"⚠ revisar la unidad"))</f>
        <v/>
      </c>
      <c r="I386" s="15" t="str">
        <f aca="false">IF(OR($F386="",$G386="",$F386=0),"",$G386/$F386)</f>
        <v/>
      </c>
      <c r="J386" s="22"/>
      <c r="K386" s="22"/>
      <c r="L386" s="22"/>
      <c r="M386" s="22"/>
      <c r="N386" s="22"/>
      <c r="O386" s="22"/>
      <c r="P386" s="23"/>
    </row>
    <row r="387" customFormat="false" ht="15" hidden="false" customHeight="false" outlineLevel="0" collapsed="false">
      <c r="A387" s="18"/>
      <c r="B387" s="19"/>
      <c r="C387" s="19"/>
      <c r="D387" s="19"/>
      <c r="E387" s="19"/>
      <c r="F387" s="20"/>
      <c r="G387" s="21"/>
      <c r="H387" s="14" t="str">
        <f aca="false">IF(OR($A387="",$D387="",$E387="",$F387=""),"",IFERROR($A387&amp;" / "&amp;IF(AND($F387=1,$D387=$E387),INDEX(Listas!$I$5:$I$25,MATCH($E387,Listas!$H$5:$H$25,0)),INDEX(Listas!$I$5:$I$25,MATCH($E387,Listas!$H$5:$H$25,0))&amp;" X "&amp;TEXT($F387,"0.####")&amp;" "&amp;INDEX(Listas!$I$5:$I$25,MATCH($D387,Listas!$H$5:$H$25,0))),"⚠ revisar la unidad"))</f>
        <v/>
      </c>
      <c r="I387" s="15" t="str">
        <f aca="false">IF(OR($F387="",$G387="",$F387=0),"",$G387/$F387)</f>
        <v/>
      </c>
      <c r="J387" s="22"/>
      <c r="K387" s="22"/>
      <c r="L387" s="22"/>
      <c r="M387" s="22"/>
      <c r="N387" s="22"/>
      <c r="O387" s="22"/>
      <c r="P387" s="23"/>
    </row>
    <row r="388" customFormat="false" ht="15" hidden="false" customHeight="false" outlineLevel="0" collapsed="false">
      <c r="A388" s="18"/>
      <c r="B388" s="19"/>
      <c r="C388" s="19"/>
      <c r="D388" s="19"/>
      <c r="E388" s="19"/>
      <c r="F388" s="20"/>
      <c r="G388" s="21"/>
      <c r="H388" s="14" t="str">
        <f aca="false">IF(OR($A388="",$D388="",$E388="",$F388=""),"",IFERROR($A388&amp;" / "&amp;IF(AND($F388=1,$D388=$E388),INDEX(Listas!$I$5:$I$25,MATCH($E388,Listas!$H$5:$H$25,0)),INDEX(Listas!$I$5:$I$25,MATCH($E388,Listas!$H$5:$H$25,0))&amp;" X "&amp;TEXT($F388,"0.####")&amp;" "&amp;INDEX(Listas!$I$5:$I$25,MATCH($D388,Listas!$H$5:$H$25,0))),"⚠ revisar la unidad"))</f>
        <v/>
      </c>
      <c r="I388" s="15" t="str">
        <f aca="false">IF(OR($F388="",$G388="",$F388=0),"",$G388/$F388)</f>
        <v/>
      </c>
      <c r="J388" s="22"/>
      <c r="K388" s="22"/>
      <c r="L388" s="22"/>
      <c r="M388" s="22"/>
      <c r="N388" s="22"/>
      <c r="O388" s="22"/>
      <c r="P388" s="23"/>
    </row>
    <row r="389" customFormat="false" ht="15" hidden="false" customHeight="false" outlineLevel="0" collapsed="false">
      <c r="A389" s="18"/>
      <c r="B389" s="19"/>
      <c r="C389" s="19"/>
      <c r="D389" s="19"/>
      <c r="E389" s="19"/>
      <c r="F389" s="20"/>
      <c r="G389" s="21"/>
      <c r="H389" s="14" t="str">
        <f aca="false">IF(OR($A389="",$D389="",$E389="",$F389=""),"",IFERROR($A389&amp;" / "&amp;IF(AND($F389=1,$D389=$E389),INDEX(Listas!$I$5:$I$25,MATCH($E389,Listas!$H$5:$H$25,0)),INDEX(Listas!$I$5:$I$25,MATCH($E389,Listas!$H$5:$H$25,0))&amp;" X "&amp;TEXT($F389,"0.####")&amp;" "&amp;INDEX(Listas!$I$5:$I$25,MATCH($D389,Listas!$H$5:$H$25,0))),"⚠ revisar la unidad"))</f>
        <v/>
      </c>
      <c r="I389" s="15" t="str">
        <f aca="false">IF(OR($F389="",$G389="",$F389=0),"",$G389/$F389)</f>
        <v/>
      </c>
      <c r="J389" s="22"/>
      <c r="K389" s="22"/>
      <c r="L389" s="22"/>
      <c r="M389" s="22"/>
      <c r="N389" s="22"/>
      <c r="O389" s="22"/>
      <c r="P389" s="23"/>
    </row>
    <row r="390" customFormat="false" ht="15" hidden="false" customHeight="false" outlineLevel="0" collapsed="false">
      <c r="A390" s="18"/>
      <c r="B390" s="19"/>
      <c r="C390" s="19"/>
      <c r="D390" s="19"/>
      <c r="E390" s="19"/>
      <c r="F390" s="20"/>
      <c r="G390" s="21"/>
      <c r="H390" s="14" t="str">
        <f aca="false">IF(OR($A390="",$D390="",$E390="",$F390=""),"",IFERROR($A390&amp;" / "&amp;IF(AND($F390=1,$D390=$E390),INDEX(Listas!$I$5:$I$25,MATCH($E390,Listas!$H$5:$H$25,0)),INDEX(Listas!$I$5:$I$25,MATCH($E390,Listas!$H$5:$H$25,0))&amp;" X "&amp;TEXT($F390,"0.####")&amp;" "&amp;INDEX(Listas!$I$5:$I$25,MATCH($D390,Listas!$H$5:$H$25,0))),"⚠ revisar la unidad"))</f>
        <v/>
      </c>
      <c r="I390" s="15" t="str">
        <f aca="false">IF(OR($F390="",$G390="",$F390=0),"",$G390/$F390)</f>
        <v/>
      </c>
      <c r="J390" s="22"/>
      <c r="K390" s="22"/>
      <c r="L390" s="22"/>
      <c r="M390" s="22"/>
      <c r="N390" s="22"/>
      <c r="O390" s="22"/>
      <c r="P390" s="23"/>
    </row>
    <row r="391" customFormat="false" ht="15" hidden="false" customHeight="false" outlineLevel="0" collapsed="false">
      <c r="A391" s="18"/>
      <c r="B391" s="19"/>
      <c r="C391" s="19"/>
      <c r="D391" s="19"/>
      <c r="E391" s="19"/>
      <c r="F391" s="20"/>
      <c r="G391" s="21"/>
      <c r="H391" s="14" t="str">
        <f aca="false">IF(OR($A391="",$D391="",$E391="",$F391=""),"",IFERROR($A391&amp;" / "&amp;IF(AND($F391=1,$D391=$E391),INDEX(Listas!$I$5:$I$25,MATCH($E391,Listas!$H$5:$H$25,0)),INDEX(Listas!$I$5:$I$25,MATCH($E391,Listas!$H$5:$H$25,0))&amp;" X "&amp;TEXT($F391,"0.####")&amp;" "&amp;INDEX(Listas!$I$5:$I$25,MATCH($D391,Listas!$H$5:$H$25,0))),"⚠ revisar la unidad"))</f>
        <v/>
      </c>
      <c r="I391" s="15" t="str">
        <f aca="false">IF(OR($F391="",$G391="",$F391=0),"",$G391/$F391)</f>
        <v/>
      </c>
      <c r="J391" s="22"/>
      <c r="K391" s="22"/>
      <c r="L391" s="22"/>
      <c r="M391" s="22"/>
      <c r="N391" s="22"/>
      <c r="O391" s="22"/>
      <c r="P391" s="23"/>
    </row>
    <row r="392" customFormat="false" ht="15" hidden="false" customHeight="false" outlineLevel="0" collapsed="false">
      <c r="A392" s="18"/>
      <c r="B392" s="19"/>
      <c r="C392" s="19"/>
      <c r="D392" s="19"/>
      <c r="E392" s="19"/>
      <c r="F392" s="20"/>
      <c r="G392" s="21"/>
      <c r="H392" s="14" t="str">
        <f aca="false">IF(OR($A392="",$D392="",$E392="",$F392=""),"",IFERROR($A392&amp;" / "&amp;IF(AND($F392=1,$D392=$E392),INDEX(Listas!$I$5:$I$25,MATCH($E392,Listas!$H$5:$H$25,0)),INDEX(Listas!$I$5:$I$25,MATCH($E392,Listas!$H$5:$H$25,0))&amp;" X "&amp;TEXT($F392,"0.####")&amp;" "&amp;INDEX(Listas!$I$5:$I$25,MATCH($D392,Listas!$H$5:$H$25,0))),"⚠ revisar la unidad"))</f>
        <v/>
      </c>
      <c r="I392" s="15" t="str">
        <f aca="false">IF(OR($F392="",$G392="",$F392=0),"",$G392/$F392)</f>
        <v/>
      </c>
      <c r="J392" s="22"/>
      <c r="K392" s="22"/>
      <c r="L392" s="22"/>
      <c r="M392" s="22"/>
      <c r="N392" s="22"/>
      <c r="O392" s="22"/>
      <c r="P392" s="23"/>
    </row>
    <row r="393" customFormat="false" ht="15" hidden="false" customHeight="false" outlineLevel="0" collapsed="false">
      <c r="A393" s="18"/>
      <c r="B393" s="19"/>
      <c r="C393" s="19"/>
      <c r="D393" s="19"/>
      <c r="E393" s="19"/>
      <c r="F393" s="20"/>
      <c r="G393" s="21"/>
      <c r="H393" s="14" t="str">
        <f aca="false">IF(OR($A393="",$D393="",$E393="",$F393=""),"",IFERROR($A393&amp;" / "&amp;IF(AND($F393=1,$D393=$E393),INDEX(Listas!$I$5:$I$25,MATCH($E393,Listas!$H$5:$H$25,0)),INDEX(Listas!$I$5:$I$25,MATCH($E393,Listas!$H$5:$H$25,0))&amp;" X "&amp;TEXT($F393,"0.####")&amp;" "&amp;INDEX(Listas!$I$5:$I$25,MATCH($D393,Listas!$H$5:$H$25,0))),"⚠ revisar la unidad"))</f>
        <v/>
      </c>
      <c r="I393" s="15" t="str">
        <f aca="false">IF(OR($F393="",$G393="",$F393=0),"",$G393/$F393)</f>
        <v/>
      </c>
      <c r="J393" s="22"/>
      <c r="K393" s="22"/>
      <c r="L393" s="22"/>
      <c r="M393" s="22"/>
      <c r="N393" s="22"/>
      <c r="O393" s="22"/>
      <c r="P393" s="23"/>
    </row>
    <row r="394" customFormat="false" ht="15" hidden="false" customHeight="false" outlineLevel="0" collapsed="false">
      <c r="A394" s="18"/>
      <c r="B394" s="19"/>
      <c r="C394" s="19"/>
      <c r="D394" s="19"/>
      <c r="E394" s="19"/>
      <c r="F394" s="20"/>
      <c r="G394" s="21"/>
      <c r="H394" s="14" t="str">
        <f aca="false">IF(OR($A394="",$D394="",$E394="",$F394=""),"",IFERROR($A394&amp;" / "&amp;IF(AND($F394=1,$D394=$E394),INDEX(Listas!$I$5:$I$25,MATCH($E394,Listas!$H$5:$H$25,0)),INDEX(Listas!$I$5:$I$25,MATCH($E394,Listas!$H$5:$H$25,0))&amp;" X "&amp;TEXT($F394,"0.####")&amp;" "&amp;INDEX(Listas!$I$5:$I$25,MATCH($D394,Listas!$H$5:$H$25,0))),"⚠ revisar la unidad"))</f>
        <v/>
      </c>
      <c r="I394" s="15" t="str">
        <f aca="false">IF(OR($F394="",$G394="",$F394=0),"",$G394/$F394)</f>
        <v/>
      </c>
      <c r="J394" s="22"/>
      <c r="K394" s="22"/>
      <c r="L394" s="22"/>
      <c r="M394" s="22"/>
      <c r="N394" s="22"/>
      <c r="O394" s="22"/>
      <c r="P394" s="23"/>
    </row>
    <row r="395" customFormat="false" ht="15" hidden="false" customHeight="false" outlineLevel="0" collapsed="false">
      <c r="A395" s="18"/>
      <c r="B395" s="19"/>
      <c r="C395" s="19"/>
      <c r="D395" s="19"/>
      <c r="E395" s="19"/>
      <c r="F395" s="20"/>
      <c r="G395" s="21"/>
      <c r="H395" s="14" t="str">
        <f aca="false">IF(OR($A395="",$D395="",$E395="",$F395=""),"",IFERROR($A395&amp;" / "&amp;IF(AND($F395=1,$D395=$E395),INDEX(Listas!$I$5:$I$25,MATCH($E395,Listas!$H$5:$H$25,0)),INDEX(Listas!$I$5:$I$25,MATCH($E395,Listas!$H$5:$H$25,0))&amp;" X "&amp;TEXT($F395,"0.####")&amp;" "&amp;INDEX(Listas!$I$5:$I$25,MATCH($D395,Listas!$H$5:$H$25,0))),"⚠ revisar la unidad"))</f>
        <v/>
      </c>
      <c r="I395" s="15" t="str">
        <f aca="false">IF(OR($F395="",$G395="",$F395=0),"",$G395/$F395)</f>
        <v/>
      </c>
      <c r="J395" s="22"/>
      <c r="K395" s="22"/>
      <c r="L395" s="22"/>
      <c r="M395" s="22"/>
      <c r="N395" s="22"/>
      <c r="O395" s="22"/>
      <c r="P395" s="23"/>
    </row>
    <row r="396" customFormat="false" ht="15" hidden="false" customHeight="false" outlineLevel="0" collapsed="false">
      <c r="A396" s="18"/>
      <c r="B396" s="19"/>
      <c r="C396" s="19"/>
      <c r="D396" s="19"/>
      <c r="E396" s="19"/>
      <c r="F396" s="20"/>
      <c r="G396" s="21"/>
      <c r="H396" s="14" t="str">
        <f aca="false">IF(OR($A396="",$D396="",$E396="",$F396=""),"",IFERROR($A396&amp;" / "&amp;IF(AND($F396=1,$D396=$E396),INDEX(Listas!$I$5:$I$25,MATCH($E396,Listas!$H$5:$H$25,0)),INDEX(Listas!$I$5:$I$25,MATCH($E396,Listas!$H$5:$H$25,0))&amp;" X "&amp;TEXT($F396,"0.####")&amp;" "&amp;INDEX(Listas!$I$5:$I$25,MATCH($D396,Listas!$H$5:$H$25,0))),"⚠ revisar la unidad"))</f>
        <v/>
      </c>
      <c r="I396" s="15" t="str">
        <f aca="false">IF(OR($F396="",$G396="",$F396=0),"",$G396/$F396)</f>
        <v/>
      </c>
      <c r="J396" s="22"/>
      <c r="K396" s="22"/>
      <c r="L396" s="22"/>
      <c r="M396" s="22"/>
      <c r="N396" s="22"/>
      <c r="O396" s="22"/>
      <c r="P396" s="23"/>
    </row>
    <row r="397" customFormat="false" ht="15" hidden="false" customHeight="false" outlineLevel="0" collapsed="false">
      <c r="A397" s="18"/>
      <c r="B397" s="19"/>
      <c r="C397" s="19"/>
      <c r="D397" s="19"/>
      <c r="E397" s="19"/>
      <c r="F397" s="20"/>
      <c r="G397" s="21"/>
      <c r="H397" s="14" t="str">
        <f aca="false">IF(OR($A397="",$D397="",$E397="",$F397=""),"",IFERROR($A397&amp;" / "&amp;IF(AND($F397=1,$D397=$E397),INDEX(Listas!$I$5:$I$25,MATCH($E397,Listas!$H$5:$H$25,0)),INDEX(Listas!$I$5:$I$25,MATCH($E397,Listas!$H$5:$H$25,0))&amp;" X "&amp;TEXT($F397,"0.####")&amp;" "&amp;INDEX(Listas!$I$5:$I$25,MATCH($D397,Listas!$H$5:$H$25,0))),"⚠ revisar la unidad"))</f>
        <v/>
      </c>
      <c r="I397" s="15" t="str">
        <f aca="false">IF(OR($F397="",$G397="",$F397=0),"",$G397/$F397)</f>
        <v/>
      </c>
      <c r="J397" s="22"/>
      <c r="K397" s="22"/>
      <c r="L397" s="22"/>
      <c r="M397" s="22"/>
      <c r="N397" s="22"/>
      <c r="O397" s="22"/>
      <c r="P397" s="23"/>
    </row>
    <row r="398" customFormat="false" ht="15" hidden="false" customHeight="false" outlineLevel="0" collapsed="false">
      <c r="A398" s="18"/>
      <c r="B398" s="19"/>
      <c r="C398" s="19"/>
      <c r="D398" s="19"/>
      <c r="E398" s="19"/>
      <c r="F398" s="20"/>
      <c r="G398" s="21"/>
      <c r="H398" s="14" t="str">
        <f aca="false">IF(OR($A398="",$D398="",$E398="",$F398=""),"",IFERROR($A398&amp;" / "&amp;IF(AND($F398=1,$D398=$E398),INDEX(Listas!$I$5:$I$25,MATCH($E398,Listas!$H$5:$H$25,0)),INDEX(Listas!$I$5:$I$25,MATCH($E398,Listas!$H$5:$H$25,0))&amp;" X "&amp;TEXT($F398,"0.####")&amp;" "&amp;INDEX(Listas!$I$5:$I$25,MATCH($D398,Listas!$H$5:$H$25,0))),"⚠ revisar la unidad"))</f>
        <v/>
      </c>
      <c r="I398" s="15" t="str">
        <f aca="false">IF(OR($F398="",$G398="",$F398=0),"",$G398/$F398)</f>
        <v/>
      </c>
      <c r="J398" s="22"/>
      <c r="K398" s="22"/>
      <c r="L398" s="22"/>
      <c r="M398" s="22"/>
      <c r="N398" s="22"/>
      <c r="O398" s="22"/>
      <c r="P398" s="23"/>
    </row>
    <row r="399" customFormat="false" ht="15" hidden="false" customHeight="false" outlineLevel="0" collapsed="false">
      <c r="A399" s="18"/>
      <c r="B399" s="19"/>
      <c r="C399" s="19"/>
      <c r="D399" s="19"/>
      <c r="E399" s="19"/>
      <c r="F399" s="20"/>
      <c r="G399" s="21"/>
      <c r="H399" s="14" t="str">
        <f aca="false">IF(OR($A399="",$D399="",$E399="",$F399=""),"",IFERROR($A399&amp;" / "&amp;IF(AND($F399=1,$D399=$E399),INDEX(Listas!$I$5:$I$25,MATCH($E399,Listas!$H$5:$H$25,0)),INDEX(Listas!$I$5:$I$25,MATCH($E399,Listas!$H$5:$H$25,0))&amp;" X "&amp;TEXT($F399,"0.####")&amp;" "&amp;INDEX(Listas!$I$5:$I$25,MATCH($D399,Listas!$H$5:$H$25,0))),"⚠ revisar la unidad"))</f>
        <v/>
      </c>
      <c r="I399" s="15" t="str">
        <f aca="false">IF(OR($F399="",$G399="",$F399=0),"",$G399/$F399)</f>
        <v/>
      </c>
      <c r="J399" s="22"/>
      <c r="K399" s="22"/>
      <c r="L399" s="22"/>
      <c r="M399" s="22"/>
      <c r="N399" s="22"/>
      <c r="O399" s="22"/>
      <c r="P399" s="23"/>
    </row>
    <row r="400" customFormat="false" ht="15" hidden="false" customHeight="false" outlineLevel="0" collapsed="false">
      <c r="A400" s="18"/>
      <c r="B400" s="19"/>
      <c r="C400" s="19"/>
      <c r="D400" s="19"/>
      <c r="E400" s="19"/>
      <c r="F400" s="20"/>
      <c r="G400" s="21"/>
      <c r="H400" s="14" t="str">
        <f aca="false">IF(OR($A400="",$D400="",$E400="",$F400=""),"",IFERROR($A400&amp;" / "&amp;IF(AND($F400=1,$D400=$E400),INDEX(Listas!$I$5:$I$25,MATCH($E400,Listas!$H$5:$H$25,0)),INDEX(Listas!$I$5:$I$25,MATCH($E400,Listas!$H$5:$H$25,0))&amp;" X "&amp;TEXT($F400,"0.####")&amp;" "&amp;INDEX(Listas!$I$5:$I$25,MATCH($D400,Listas!$H$5:$H$25,0))),"⚠ revisar la unidad"))</f>
        <v/>
      </c>
      <c r="I400" s="15" t="str">
        <f aca="false">IF(OR($F400="",$G400="",$F400=0),"",$G400/$F400)</f>
        <v/>
      </c>
      <c r="J400" s="22"/>
      <c r="K400" s="22"/>
      <c r="L400" s="22"/>
      <c r="M400" s="22"/>
      <c r="N400" s="22"/>
      <c r="O400" s="22"/>
      <c r="P400" s="23"/>
    </row>
    <row r="401" customFormat="false" ht="15" hidden="false" customHeight="false" outlineLevel="0" collapsed="false">
      <c r="A401" s="18"/>
      <c r="B401" s="19"/>
      <c r="C401" s="19"/>
      <c r="D401" s="19"/>
      <c r="E401" s="19"/>
      <c r="F401" s="20"/>
      <c r="G401" s="21"/>
      <c r="H401" s="14" t="str">
        <f aca="false">IF(OR($A401="",$D401="",$E401="",$F401=""),"",IFERROR($A401&amp;" / "&amp;IF(AND($F401=1,$D401=$E401),INDEX(Listas!$I$5:$I$25,MATCH($E401,Listas!$H$5:$H$25,0)),INDEX(Listas!$I$5:$I$25,MATCH($E401,Listas!$H$5:$H$25,0))&amp;" X "&amp;TEXT($F401,"0.####")&amp;" "&amp;INDEX(Listas!$I$5:$I$25,MATCH($D401,Listas!$H$5:$H$25,0))),"⚠ revisar la unidad"))</f>
        <v/>
      </c>
      <c r="I401" s="15" t="str">
        <f aca="false">IF(OR($F401="",$G401="",$F401=0),"",$G401/$F401)</f>
        <v/>
      </c>
      <c r="J401" s="22"/>
      <c r="K401" s="22"/>
      <c r="L401" s="22"/>
      <c r="M401" s="22"/>
      <c r="N401" s="22"/>
      <c r="O401" s="22"/>
      <c r="P401" s="23"/>
    </row>
    <row r="402" customFormat="false" ht="15" hidden="false" customHeight="false" outlineLevel="0" collapsed="false">
      <c r="A402" s="18"/>
      <c r="B402" s="19"/>
      <c r="C402" s="19"/>
      <c r="D402" s="19"/>
      <c r="E402" s="19"/>
      <c r="F402" s="20"/>
      <c r="G402" s="21"/>
      <c r="H402" s="14" t="str">
        <f aca="false">IF(OR($A402="",$D402="",$E402="",$F402=""),"",IFERROR($A402&amp;" / "&amp;IF(AND($F402=1,$D402=$E402),INDEX(Listas!$I$5:$I$25,MATCH($E402,Listas!$H$5:$H$25,0)),INDEX(Listas!$I$5:$I$25,MATCH($E402,Listas!$H$5:$H$25,0))&amp;" X "&amp;TEXT($F402,"0.####")&amp;" "&amp;INDEX(Listas!$I$5:$I$25,MATCH($D402,Listas!$H$5:$H$25,0))),"⚠ revisar la unidad"))</f>
        <v/>
      </c>
      <c r="I402" s="15" t="str">
        <f aca="false">IF(OR($F402="",$G402="",$F402=0),"",$G402/$F402)</f>
        <v/>
      </c>
      <c r="J402" s="22"/>
      <c r="K402" s="22"/>
      <c r="L402" s="22"/>
      <c r="M402" s="22"/>
      <c r="N402" s="22"/>
      <c r="O402" s="22"/>
      <c r="P402" s="23"/>
    </row>
  </sheetData>
  <autoFilter ref="A2:P402"/>
  <mergeCells count="1">
    <mergeCell ref="A1:P1"/>
  </mergeCells>
  <dataValidations count="7">
    <dataValidation allowBlank="true" error="Medicamento, Insumo o material, u Otro: son los tres que admite el área de farmacia." errorStyle="stop" errorTitle="Valor no admitido por el sistema" operator="between" prompt="Medicamento, Insumo o material, u Otro: son los tres que admite el área de farmacia." promptTitle="Seleccione de la lista" showDropDown="false" showErrorMessage="false" showInputMessage="false" sqref="B3:B402" type="list">
      <formula1>Listas!$A$5:$A$7</formula1>
      <formula2>0</formula2>
    </dataValidation>
    <dataValidation allowBlank="true" error="Seleccione la categoría de la lista. De no corresponder ninguna, consigne OTROS INSUMOS y detalle en Notas." errorStyle="stop" errorTitle="Valor no admitido por el sistema" operator="between" prompt="Seleccione la categoría de la lista. De no corresponder ninguna, consigne OTROS INSUMOS y detalle en Notas." promptTitle="Seleccione de la lista" showDropDown="false" showErrorMessage="false" showInputMessage="false" sqref="C3:C402" type="list">
      <formula1>Listas!$D$5:$D$9</formula1>
      <formula2>0</formula2>
    </dataValidation>
    <dataValidation allowBlank="true" error="Unidad MÍNIMA en que se entrega al paciente: TABLETA, MILILITRO, AMPOLLA. No corresponde CAJA." errorStyle="stop" errorTitle="Valor no admitido por el sistema" operator="between" prompt="Unidad MÍNIMA en que se entrega al paciente: TABLETA, MILILITRO, AMPOLLA. No corresponde CAJA." promptTitle="Seleccione de la lista" showDropDown="false" showErrorMessage="false" showInputMessage="false" sqref="D3:D402" type="list">
      <formula1>Listas!$H$5:$H$25</formula1>
      <formula2>0</formula2>
    </dataValidation>
    <dataValidation allowBlank="true" error="Presentación en que lo suministra el proveedor: CAJA, FRASCO, BLÍSTER, BOLSA." errorStyle="stop" errorTitle="Valor no admitido por el sistema" operator="between" prompt="Presentación en que lo suministra el proveedor: CAJA, FRASCO, BLÍSTER, BOLSA." promptTitle="Seleccione de la lista" showDropDown="false" showErrorMessage="false" showInputMessage="false" sqref="E3:E402" type="list">
      <formula1>Listas!$H$5:$H$25</formula1>
      <formula2>0</formula2>
    </dataValidation>
    <dataValidation allowBlank="true" error="SÍ o NO. Vacío se interpreta como NO." errorStyle="stop" errorTitle="Valor no admitido por el sistema" operator="between" prompt="SÍ o NO. Vacío se interpreta como NO." promptTitle="Seleccione de la lista" showDropDown="false" showErrorMessage="false" showInputMessage="false" sqref="N3:N402" type="list">
      <formula1>Listas!$M$5:$M$6</formula1>
      <formula2>0</formula2>
    </dataValidation>
    <dataValidation allowBlank="true" error="SÍ o NO. Un producto controlado exige receta en todos los casos." errorStyle="stop" errorTitle="Valor no admitido por el sistema" operator="between" prompt="SÍ o NO. Un producto controlado exige receta en todos los casos." promptTitle="Seleccione de la lista" showDropDown="false" showErrorMessage="false" showInputMessage="false" sqref="O3:O402" type="list">
      <formula1>Listas!$M$5:$M$6</formula1>
      <formula2>0</formula2>
    </dataValidation>
    <dataValidation allowBlank="true" error="Contenido del envase y su costo. Sin separador de miles y con punto decimal." errorStyle="stop" errorTitle="Debe ser un número mayor que cero" operator="greaterThan" showDropDown="false" showErrorMessage="false" showInputMessage="false" sqref="F3:G402"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4B08"/>
    <pageSetUpPr fitToPage="false"/>
  </sheetPr>
  <dimension ref="A1:P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24"/>
    <col collapsed="false" customWidth="true" hidden="false" outlineLevel="0" max="4" min="4" style="0" width="20"/>
    <col collapsed="false" customWidth="true" hidden="false" outlineLevel="0" max="5" min="5" style="0" width="19"/>
    <col collapsed="false" customWidth="true" hidden="false" outlineLevel="0" max="6" min="6" style="0" width="15"/>
    <col collapsed="false" customWidth="true" hidden="false" outlineLevel="0" max="7" min="7" style="0" width="17"/>
    <col collapsed="false" customWidth="true" hidden="false" outlineLevel="0" max="8" min="8" style="0" width="46"/>
    <col collapsed="false" customWidth="true" hidden="false" outlineLevel="0" max="9" min="9" style="0" width="14"/>
    <col collapsed="false" customWidth="true" hidden="false" outlineLevel="0" max="10" min="10" style="0" width="20"/>
    <col collapsed="false" customWidth="true" hidden="false" outlineLevel="0" max="11" min="11" style="0" width="26"/>
    <col collapsed="false" customWidth="true" hidden="false" outlineLevel="0" max="12" min="12" style="0" width="20"/>
    <col collapsed="false" customWidth="true" hidden="false" outlineLevel="0" max="13" min="13" style="0" width="12"/>
    <col collapsed="false" customWidth="true" hidden="false" outlineLevel="0" max="15" min="14" style="0" width="13"/>
    <col collapsed="false" customWidth="true" hidden="false" outlineLevel="0" max="16" min="16" style="0" width="34"/>
  </cols>
  <sheetData>
    <row r="1" customFormat="false" ht="30" hidden="false" customHeight="true" outlineLevel="0" collapsed="false">
      <c r="A1" s="24" t="s">
        <v>48</v>
      </c>
      <c r="B1" s="24"/>
      <c r="C1" s="24"/>
      <c r="D1" s="24"/>
      <c r="E1" s="24"/>
      <c r="F1" s="24"/>
      <c r="G1" s="24"/>
      <c r="H1" s="24"/>
      <c r="I1" s="24"/>
      <c r="J1" s="24"/>
      <c r="K1" s="24"/>
      <c r="L1" s="24"/>
      <c r="M1" s="24"/>
      <c r="N1" s="24"/>
      <c r="O1" s="24"/>
      <c r="P1" s="24"/>
    </row>
    <row r="2" customFormat="false" ht="33.75" hidden="false" customHeight="true" outlineLevel="0" collapsed="false">
      <c r="A2" s="25" t="s">
        <v>21</v>
      </c>
      <c r="B2" s="25" t="s">
        <v>22</v>
      </c>
      <c r="C2" s="25" t="s">
        <v>23</v>
      </c>
      <c r="D2" s="25" t="s">
        <v>24</v>
      </c>
      <c r="E2" s="25" t="s">
        <v>25</v>
      </c>
      <c r="F2" s="25" t="s">
        <v>26</v>
      </c>
      <c r="G2" s="25" t="s">
        <v>27</v>
      </c>
      <c r="H2" s="25" t="s">
        <v>28</v>
      </c>
      <c r="I2" s="25" t="s">
        <v>29</v>
      </c>
      <c r="J2" s="25" t="s">
        <v>30</v>
      </c>
      <c r="K2" s="25" t="s">
        <v>31</v>
      </c>
      <c r="L2" s="25" t="s">
        <v>32</v>
      </c>
      <c r="M2" s="25" t="s">
        <v>33</v>
      </c>
      <c r="N2" s="25" t="s">
        <v>34</v>
      </c>
      <c r="O2" s="25" t="s">
        <v>35</v>
      </c>
      <c r="P2" s="25" t="s">
        <v>36</v>
      </c>
    </row>
    <row r="3" customFormat="false" ht="22.35" hidden="false" customHeight="false" outlineLevel="0" collapsed="false">
      <c r="A3" s="26" t="s">
        <v>37</v>
      </c>
      <c r="B3" s="27" t="s">
        <v>38</v>
      </c>
      <c r="C3" s="27" t="s">
        <v>39</v>
      </c>
      <c r="D3" s="27" t="s">
        <v>40</v>
      </c>
      <c r="E3" s="27" t="s">
        <v>41</v>
      </c>
      <c r="F3" s="28" t="n">
        <v>100</v>
      </c>
      <c r="G3" s="29" t="n">
        <v>450</v>
      </c>
      <c r="H3" s="30" t="str">
        <f aca="false">IFERROR($A3&amp;" / "&amp;IF(AND($F3=1,$D3=$E3),INDEX(Listas!$I$5:$I$25,MATCH($E3,Listas!$H$5:$H$25,0)),INDEX(Listas!$I$5:$I$25,MATCH($E3,Listas!$H$5:$H$25,0))&amp;" X "&amp;TEXT($F3,"0.####")&amp;" "&amp;INDEX(Listas!$I$5:$I$25,MATCH($D3,Listas!$H$5:$H$25,0))),"")</f>
        <v>ACETAMINOFÉN 500 MG TABLETA / CAJA X 100 TAB</v>
      </c>
      <c r="I3" s="31" t="n">
        <f aca="false">IF($F3=0,"",$G3/$F3)</f>
        <v>4.5</v>
      </c>
      <c r="J3" s="27" t="s">
        <v>42</v>
      </c>
      <c r="K3" s="27" t="s">
        <v>43</v>
      </c>
      <c r="L3" s="27" t="s">
        <v>44</v>
      </c>
      <c r="M3" s="27" t="s">
        <v>45</v>
      </c>
      <c r="N3" s="27" t="s">
        <v>46</v>
      </c>
      <c r="O3" s="27" t="s">
        <v>46</v>
      </c>
      <c r="P3" s="26" t="s">
        <v>47</v>
      </c>
    </row>
    <row r="4" customFormat="false" ht="22.35" hidden="false" customHeight="false" outlineLevel="0" collapsed="false">
      <c r="A4" s="26" t="s">
        <v>37</v>
      </c>
      <c r="B4" s="27" t="s">
        <v>38</v>
      </c>
      <c r="C4" s="27" t="s">
        <v>39</v>
      </c>
      <c r="D4" s="27" t="s">
        <v>40</v>
      </c>
      <c r="E4" s="27" t="s">
        <v>41</v>
      </c>
      <c r="F4" s="28" t="n">
        <v>80</v>
      </c>
      <c r="G4" s="29" t="n">
        <v>368</v>
      </c>
      <c r="H4" s="30" t="str">
        <f aca="false">IFERROR($A4&amp;" / "&amp;IF(AND($F4=1,$D4=$E4),INDEX(Listas!$I$5:$I$25,MATCH($E4,Listas!$H$5:$H$25,0)),INDEX(Listas!$I$5:$I$25,MATCH($E4,Listas!$H$5:$H$25,0))&amp;" X "&amp;TEXT($F4,"0.####")&amp;" "&amp;INDEX(Listas!$I$5:$I$25,MATCH($D4,Listas!$H$5:$H$25,0))),"")</f>
        <v>ACETAMINOFÉN 500 MG TABLETA / CAJA X 80 TAB</v>
      </c>
      <c r="I4" s="31" t="n">
        <f aca="false">IF($F4=0,"",$G4/$F4)</f>
        <v>4.6</v>
      </c>
      <c r="J4" s="27"/>
      <c r="K4" s="27" t="s">
        <v>43</v>
      </c>
      <c r="L4" s="27" t="s">
        <v>44</v>
      </c>
      <c r="M4" s="27" t="s">
        <v>45</v>
      </c>
      <c r="N4" s="27" t="s">
        <v>46</v>
      </c>
      <c r="O4" s="27" t="s">
        <v>46</v>
      </c>
      <c r="P4" s="26" t="s">
        <v>49</v>
      </c>
    </row>
    <row r="5" customFormat="false" ht="22.35" hidden="false" customHeight="false" outlineLevel="0" collapsed="false">
      <c r="A5" s="26" t="s">
        <v>37</v>
      </c>
      <c r="B5" s="27" t="s">
        <v>38</v>
      </c>
      <c r="C5" s="27" t="s">
        <v>39</v>
      </c>
      <c r="D5" s="27" t="s">
        <v>40</v>
      </c>
      <c r="E5" s="27" t="s">
        <v>50</v>
      </c>
      <c r="F5" s="28" t="n">
        <v>10</v>
      </c>
      <c r="G5" s="29" t="n">
        <v>52</v>
      </c>
      <c r="H5" s="30" t="str">
        <f aca="false">IFERROR($A5&amp;" / "&amp;IF(AND($F5=1,$D5=$E5),INDEX(Listas!$I$5:$I$25,MATCH($E5,Listas!$H$5:$H$25,0)),INDEX(Listas!$I$5:$I$25,MATCH($E5,Listas!$H$5:$H$25,0))&amp;" X "&amp;TEXT($F5,"0.####")&amp;" "&amp;INDEX(Listas!$I$5:$I$25,MATCH($D5,Listas!$H$5:$H$25,0))),"")</f>
        <v>ACETAMINOFÉN 500 MG TABLETA / BLISTER X 10 TAB</v>
      </c>
      <c r="I5" s="31" t="n">
        <f aca="false">IF($F5=0,"",$G5/$F5)</f>
        <v>5.2</v>
      </c>
      <c r="J5" s="27"/>
      <c r="K5" s="27" t="s">
        <v>43</v>
      </c>
      <c r="L5" s="27" t="s">
        <v>44</v>
      </c>
      <c r="M5" s="27" t="s">
        <v>45</v>
      </c>
      <c r="N5" s="27" t="s">
        <v>46</v>
      </c>
      <c r="O5" s="27" t="s">
        <v>46</v>
      </c>
      <c r="P5" s="26" t="s">
        <v>51</v>
      </c>
    </row>
    <row r="6" customFormat="false" ht="15" hidden="false" customHeight="false" outlineLevel="0" collapsed="false">
      <c r="A6" s="26" t="s">
        <v>52</v>
      </c>
      <c r="B6" s="27" t="s">
        <v>38</v>
      </c>
      <c r="C6" s="27" t="s">
        <v>39</v>
      </c>
      <c r="D6" s="27" t="s">
        <v>53</v>
      </c>
      <c r="E6" s="27" t="s">
        <v>41</v>
      </c>
      <c r="F6" s="28" t="n">
        <v>30</v>
      </c>
      <c r="G6" s="29" t="n">
        <v>195</v>
      </c>
      <c r="H6" s="30" t="str">
        <f aca="false">IFERROR($A6&amp;" / "&amp;IF(AND($F6=1,$D6=$E6),INDEX(Listas!$I$5:$I$25,MATCH($E6,Listas!$H$5:$H$25,0)),INDEX(Listas!$I$5:$I$25,MATCH($E6,Listas!$H$5:$H$25,0))&amp;" X "&amp;TEXT($F6,"0.####")&amp;" "&amp;INDEX(Listas!$I$5:$I$25,MATCH($D6,Listas!$H$5:$H$25,0))),"")</f>
        <v>OMEPRAZOL 20 MG CÁPSULA / CAJA X 30 CAP</v>
      </c>
      <c r="I6" s="31" t="n">
        <f aca="false">IF($F6=0,"",$G6/$F6)</f>
        <v>6.5</v>
      </c>
      <c r="J6" s="27"/>
      <c r="K6" s="27" t="s">
        <v>54</v>
      </c>
      <c r="L6" s="27" t="s">
        <v>55</v>
      </c>
      <c r="M6" s="27" t="s">
        <v>56</v>
      </c>
      <c r="N6" s="27" t="s">
        <v>57</v>
      </c>
      <c r="O6" s="27" t="s">
        <v>46</v>
      </c>
      <c r="P6" s="26" t="s">
        <v>58</v>
      </c>
    </row>
    <row r="7" customFormat="false" ht="22.35" hidden="false" customHeight="false" outlineLevel="0" collapsed="false">
      <c r="A7" s="26" t="s">
        <v>59</v>
      </c>
      <c r="B7" s="27" t="s">
        <v>38</v>
      </c>
      <c r="C7" s="27" t="s">
        <v>39</v>
      </c>
      <c r="D7" s="27" t="s">
        <v>50</v>
      </c>
      <c r="E7" s="27" t="s">
        <v>41</v>
      </c>
      <c r="F7" s="28" t="n">
        <v>3</v>
      </c>
      <c r="G7" s="29" t="n">
        <v>168</v>
      </c>
      <c r="H7" s="30" t="str">
        <f aca="false">IFERROR($A7&amp;" / "&amp;IF(AND($F7=1,$D7=$E7),INDEX(Listas!$I$5:$I$25,MATCH($E7,Listas!$H$5:$H$25,0)),INDEX(Listas!$I$5:$I$25,MATCH($E7,Listas!$H$5:$H$25,0))&amp;" X "&amp;TEXT($F7,"0.####")&amp;" "&amp;INDEX(Listas!$I$5:$I$25,MATCH($D7,Listas!$H$5:$H$25,0))),"")</f>
        <v>LEVONORGESTREL 0.15 MG / ETINILESTRADIOL 0.03 MG / CAJA X 3 BLISTER</v>
      </c>
      <c r="I7" s="31" t="n">
        <f aca="false">IF($F7=0,"",$G7/$F7)</f>
        <v>56</v>
      </c>
      <c r="J7" s="27"/>
      <c r="K7" s="27" t="s">
        <v>60</v>
      </c>
      <c r="L7" s="27" t="s">
        <v>61</v>
      </c>
      <c r="M7" s="27" t="s">
        <v>62</v>
      </c>
      <c r="N7" s="27" t="s">
        <v>57</v>
      </c>
      <c r="O7" s="27" t="s">
        <v>46</v>
      </c>
      <c r="P7" s="26" t="s">
        <v>63</v>
      </c>
    </row>
    <row r="8" customFormat="false" ht="22.35" hidden="false" customHeight="false" outlineLevel="0" collapsed="false">
      <c r="A8" s="26" t="s">
        <v>64</v>
      </c>
      <c r="B8" s="27" t="s">
        <v>38</v>
      </c>
      <c r="C8" s="27" t="s">
        <v>39</v>
      </c>
      <c r="D8" s="27" t="s">
        <v>65</v>
      </c>
      <c r="E8" s="27" t="s">
        <v>66</v>
      </c>
      <c r="F8" s="28" t="n">
        <v>120</v>
      </c>
      <c r="G8" s="29" t="n">
        <v>68</v>
      </c>
      <c r="H8" s="30" t="str">
        <f aca="false">IFERROR($A8&amp;" / "&amp;IF(AND($F8=1,$D8=$E8),INDEX(Listas!$I$5:$I$25,MATCH($E8,Listas!$H$5:$H$25,0)),INDEX(Listas!$I$5:$I$25,MATCH($E8,Listas!$H$5:$H$25,0))&amp;" X "&amp;TEXT($F8,"0.####")&amp;" "&amp;INDEX(Listas!$I$5:$I$25,MATCH($D8,Listas!$H$5:$H$25,0))),"")</f>
        <v>ACETAMINOFÉN JARABE 120 MG/5 ML / FRASCO X 120 ML</v>
      </c>
      <c r="I8" s="31" t="n">
        <f aca="false">IF($F8=0,"",$G8/$F8)</f>
        <v>0.566666666666667</v>
      </c>
      <c r="J8" s="27"/>
      <c r="K8" s="27" t="s">
        <v>43</v>
      </c>
      <c r="L8" s="27" t="s">
        <v>67</v>
      </c>
      <c r="M8" s="27" t="s">
        <v>45</v>
      </c>
      <c r="N8" s="27" t="s">
        <v>46</v>
      </c>
      <c r="O8" s="27" t="s">
        <v>46</v>
      </c>
      <c r="P8" s="26" t="s">
        <v>68</v>
      </c>
    </row>
    <row r="9" customFormat="false" ht="22.35" hidden="false" customHeight="false" outlineLevel="0" collapsed="false">
      <c r="A9" s="26" t="s">
        <v>69</v>
      </c>
      <c r="B9" s="27" t="s">
        <v>38</v>
      </c>
      <c r="C9" s="27" t="s">
        <v>39</v>
      </c>
      <c r="D9" s="27" t="s">
        <v>70</v>
      </c>
      <c r="E9" s="27" t="s">
        <v>66</v>
      </c>
      <c r="F9" s="28" t="n">
        <v>50</v>
      </c>
      <c r="G9" s="29" t="n">
        <v>142</v>
      </c>
      <c r="H9" s="30" t="str">
        <f aca="false">IFERROR($A9&amp;" / "&amp;IF(AND($F9=1,$D9=$E9),INDEX(Listas!$I$5:$I$25,MATCH($E9,Listas!$H$5:$H$25,0)),INDEX(Listas!$I$5:$I$25,MATCH($E9,Listas!$H$5:$H$25,0))&amp;" X "&amp;TEXT($F9,"0.####")&amp;" "&amp;INDEX(Listas!$I$5:$I$25,MATCH($D9,Listas!$H$5:$H$25,0))),"")</f>
        <v>LIDOCAÍNA 2% SOLUCIÓN INYECTABLE / FRASCO X 50 CC</v>
      </c>
      <c r="I9" s="31" t="n">
        <f aca="false">IF($F9=0,"",$G9/$F9)</f>
        <v>2.84</v>
      </c>
      <c r="J9" s="27"/>
      <c r="K9" s="27" t="s">
        <v>71</v>
      </c>
      <c r="L9" s="27" t="s">
        <v>72</v>
      </c>
      <c r="M9" s="27" t="s">
        <v>73</v>
      </c>
      <c r="N9" s="27" t="s">
        <v>57</v>
      </c>
      <c r="O9" s="27" t="s">
        <v>46</v>
      </c>
      <c r="P9" s="26" t="s">
        <v>74</v>
      </c>
    </row>
    <row r="10" customFormat="false" ht="22.35" hidden="false" customHeight="false" outlineLevel="0" collapsed="false">
      <c r="A10" s="26" t="s">
        <v>75</v>
      </c>
      <c r="B10" s="27" t="s">
        <v>38</v>
      </c>
      <c r="C10" s="27" t="s">
        <v>76</v>
      </c>
      <c r="D10" s="27" t="s">
        <v>65</v>
      </c>
      <c r="E10" s="27" t="s">
        <v>77</v>
      </c>
      <c r="F10" s="28" t="n">
        <v>10</v>
      </c>
      <c r="G10" s="29" t="n">
        <v>9</v>
      </c>
      <c r="H10" s="30" t="str">
        <f aca="false">IFERROR($A10&amp;" / "&amp;IF(AND($F10=1,$D10=$E10),INDEX(Listas!$I$5:$I$25,MATCH($E10,Listas!$H$5:$H$25,0)),INDEX(Listas!$I$5:$I$25,MATCH($E10,Listas!$H$5:$H$25,0))&amp;" X "&amp;TEXT($F10,"0.####")&amp;" "&amp;INDEX(Listas!$I$5:$I$25,MATCH($D10,Listas!$H$5:$H$25,0))),"")</f>
        <v>AGUA ESTÉRIL PARA INYECCIÓN 10 ML / AMP X 10 ML</v>
      </c>
      <c r="I10" s="31" t="n">
        <f aca="false">IF($F10=0,"",$G10/$F10)</f>
        <v>0.9</v>
      </c>
      <c r="J10" s="27"/>
      <c r="K10" s="27"/>
      <c r="L10" s="27" t="s">
        <v>78</v>
      </c>
      <c r="M10" s="27"/>
      <c r="N10" s="27" t="s">
        <v>46</v>
      </c>
      <c r="O10" s="27" t="s">
        <v>46</v>
      </c>
      <c r="P10" s="26" t="s">
        <v>79</v>
      </c>
    </row>
    <row r="11" customFormat="false" ht="22.35" hidden="false" customHeight="false" outlineLevel="0" collapsed="false">
      <c r="A11" s="26" t="s">
        <v>80</v>
      </c>
      <c r="B11" s="27" t="s">
        <v>81</v>
      </c>
      <c r="C11" s="27" t="s">
        <v>82</v>
      </c>
      <c r="D11" s="27" t="s">
        <v>65</v>
      </c>
      <c r="E11" s="27" t="s">
        <v>83</v>
      </c>
      <c r="F11" s="28" t="n">
        <v>1000</v>
      </c>
      <c r="G11" s="29" t="n">
        <v>96</v>
      </c>
      <c r="H11" s="30" t="str">
        <f aca="false">IFERROR($A11&amp;" / "&amp;IF(AND($F11=1,$D11=$E11),INDEX(Listas!$I$5:$I$25,MATCH($E11,Listas!$H$5:$H$25,0)),INDEX(Listas!$I$5:$I$25,MATCH($E11,Listas!$H$5:$H$25,0))&amp;" X "&amp;TEXT($F11,"0.####")&amp;" "&amp;INDEX(Listas!$I$5:$I$25,MATCH($D11,Listas!$H$5:$H$25,0))),"")</f>
        <v>AGUA OXIGENADA 3% A GRANEL / L X 1000 ML</v>
      </c>
      <c r="I11" s="31" t="n">
        <f aca="false">IF($F11=0,"",$G11/$F11)</f>
        <v>0.096</v>
      </c>
      <c r="J11" s="27"/>
      <c r="K11" s="27"/>
      <c r="L11" s="27"/>
      <c r="M11" s="27"/>
      <c r="N11" s="27" t="s">
        <v>46</v>
      </c>
      <c r="O11" s="27" t="s">
        <v>46</v>
      </c>
      <c r="P11" s="26" t="s">
        <v>84</v>
      </c>
    </row>
    <row r="12" customFormat="false" ht="22.35" hidden="false" customHeight="false" outlineLevel="0" collapsed="false">
      <c r="A12" s="26" t="s">
        <v>85</v>
      </c>
      <c r="B12" s="27" t="s">
        <v>81</v>
      </c>
      <c r="C12" s="27" t="s">
        <v>82</v>
      </c>
      <c r="D12" s="27" t="s">
        <v>83</v>
      </c>
      <c r="E12" s="27" t="s">
        <v>41</v>
      </c>
      <c r="F12" s="28" t="n">
        <v>12</v>
      </c>
      <c r="G12" s="29" t="n">
        <v>528</v>
      </c>
      <c r="H12" s="30" t="str">
        <f aca="false">IFERROR($A12&amp;" / "&amp;IF(AND($F12=1,$D12=$E12),INDEX(Listas!$I$5:$I$25,MATCH($E12,Listas!$H$5:$H$25,0)),INDEX(Listas!$I$5:$I$25,MATCH($E12,Listas!$H$5:$H$25,0))&amp;" X "&amp;TEXT($F12,"0.####")&amp;" "&amp;INDEX(Listas!$I$5:$I$25,MATCH($D12,Listas!$H$5:$H$25,0))),"")</f>
        <v>HIPOCLORITO DE SODIO 5% / CAJA X 12 L</v>
      </c>
      <c r="I12" s="31" t="n">
        <f aca="false">IF($F12=0,"",$G12/$F12)</f>
        <v>44</v>
      </c>
      <c r="J12" s="27"/>
      <c r="K12" s="27"/>
      <c r="L12" s="27"/>
      <c r="M12" s="27"/>
      <c r="N12" s="27" t="s">
        <v>46</v>
      </c>
      <c r="O12" s="27" t="s">
        <v>46</v>
      </c>
      <c r="P12" s="26" t="s">
        <v>86</v>
      </c>
    </row>
    <row r="13" customFormat="false" ht="22.35" hidden="false" customHeight="false" outlineLevel="0" collapsed="false">
      <c r="A13" s="26" t="s">
        <v>87</v>
      </c>
      <c r="B13" s="27" t="s">
        <v>38</v>
      </c>
      <c r="C13" s="27" t="s">
        <v>39</v>
      </c>
      <c r="D13" s="27" t="s">
        <v>77</v>
      </c>
      <c r="E13" s="27" t="s">
        <v>41</v>
      </c>
      <c r="F13" s="28" t="n">
        <v>25</v>
      </c>
      <c r="G13" s="29" t="n">
        <v>875</v>
      </c>
      <c r="H13" s="30" t="str">
        <f aca="false">IFERROR($A13&amp;" / "&amp;IF(AND($F13=1,$D13=$E13),INDEX(Listas!$I$5:$I$25,MATCH($E13,Listas!$H$5:$H$25,0)),INDEX(Listas!$I$5:$I$25,MATCH($E13,Listas!$H$5:$H$25,0))&amp;" X "&amp;TEXT($F13,"0.####")&amp;" "&amp;INDEX(Listas!$I$5:$I$25,MATCH($D13,Listas!$H$5:$H$25,0))),"")</f>
        <v>DIAZEPAM 10 MG / 2 ML SOLUCIÓN INYECTABLE / CAJA X 25 AMP</v>
      </c>
      <c r="I13" s="31" t="n">
        <f aca="false">IF($F13=0,"",$G13/$F13)</f>
        <v>35</v>
      </c>
      <c r="J13" s="27"/>
      <c r="K13" s="27" t="s">
        <v>88</v>
      </c>
      <c r="L13" s="27" t="s">
        <v>89</v>
      </c>
      <c r="M13" s="27" t="s">
        <v>90</v>
      </c>
      <c r="N13" s="27" t="s">
        <v>57</v>
      </c>
      <c r="O13" s="27" t="s">
        <v>57</v>
      </c>
      <c r="P13" s="26" t="s">
        <v>91</v>
      </c>
    </row>
    <row r="14" customFormat="false" ht="22.35" hidden="false" customHeight="false" outlineLevel="0" collapsed="false">
      <c r="A14" s="26" t="s">
        <v>92</v>
      </c>
      <c r="B14" s="27" t="s">
        <v>38</v>
      </c>
      <c r="C14" s="27" t="s">
        <v>39</v>
      </c>
      <c r="D14" s="27" t="s">
        <v>93</v>
      </c>
      <c r="E14" s="27" t="s">
        <v>41</v>
      </c>
      <c r="F14" s="28" t="n">
        <v>10</v>
      </c>
      <c r="G14" s="29" t="n">
        <v>640</v>
      </c>
      <c r="H14" s="30" t="str">
        <f aca="false">IFERROR($A14&amp;" / "&amp;IF(AND($F14=1,$D14=$E14),INDEX(Listas!$I$5:$I$25,MATCH($E14,Listas!$H$5:$H$25,0)),INDEX(Listas!$I$5:$I$25,MATCH($E14,Listas!$H$5:$H$25,0))&amp;" X "&amp;TEXT($F14,"0.####")&amp;" "&amp;INDEX(Listas!$I$5:$I$25,MATCH($D14,Listas!$H$5:$H$25,0))),"")</f>
        <v>CEFTRIAXONA 1 G POLVO PARA INYECCIÓN / CAJA X 10 VIAL</v>
      </c>
      <c r="I14" s="31" t="n">
        <f aca="false">IF($F14=0,"",$G14/$F14)</f>
        <v>64</v>
      </c>
      <c r="J14" s="27"/>
      <c r="K14" s="27" t="s">
        <v>94</v>
      </c>
      <c r="L14" s="27" t="s">
        <v>95</v>
      </c>
      <c r="M14" s="27" t="s">
        <v>96</v>
      </c>
      <c r="N14" s="27" t="s">
        <v>57</v>
      </c>
      <c r="O14" s="27" t="s">
        <v>46</v>
      </c>
      <c r="P14" s="26" t="s">
        <v>97</v>
      </c>
    </row>
    <row r="15" customFormat="false" ht="22.35" hidden="false" customHeight="false" outlineLevel="0" collapsed="false">
      <c r="A15" s="26" t="s">
        <v>98</v>
      </c>
      <c r="B15" s="27" t="s">
        <v>38</v>
      </c>
      <c r="C15" s="27" t="s">
        <v>39</v>
      </c>
      <c r="D15" s="27" t="s">
        <v>99</v>
      </c>
      <c r="E15" s="27" t="s">
        <v>93</v>
      </c>
      <c r="F15" s="28" t="n">
        <v>1000</v>
      </c>
      <c r="G15" s="29" t="n">
        <v>285</v>
      </c>
      <c r="H15" s="30" t="str">
        <f aca="false">IFERROR($A15&amp;" / "&amp;IF(AND($F15=1,$D15=$E15),INDEX(Listas!$I$5:$I$25,MATCH($E15,Listas!$H$5:$H$25,0)),INDEX(Listas!$I$5:$I$25,MATCH($E15,Listas!$H$5:$H$25,0))&amp;" X "&amp;TEXT($F15,"0.####")&amp;" "&amp;INDEX(Listas!$I$5:$I$25,MATCH($D15,Listas!$H$5:$H$25,0))),"")</f>
        <v>INSULINA NPH 100 UI/ML 10 ML / VIAL X 1000 UI</v>
      </c>
      <c r="I15" s="31" t="n">
        <f aca="false">IF($F15=0,"",$G15/$F15)</f>
        <v>0.285</v>
      </c>
      <c r="J15" s="27"/>
      <c r="K15" s="27" t="s">
        <v>100</v>
      </c>
      <c r="L15" s="27" t="s">
        <v>101</v>
      </c>
      <c r="M15" s="27" t="s">
        <v>102</v>
      </c>
      <c r="N15" s="27" t="s">
        <v>57</v>
      </c>
      <c r="O15" s="27" t="s">
        <v>46</v>
      </c>
      <c r="P15" s="26" t="s">
        <v>103</v>
      </c>
    </row>
    <row r="16" customFormat="false" ht="22.35" hidden="false" customHeight="false" outlineLevel="0" collapsed="false">
      <c r="A16" s="26" t="s">
        <v>104</v>
      </c>
      <c r="B16" s="27" t="s">
        <v>38</v>
      </c>
      <c r="C16" s="27" t="s">
        <v>76</v>
      </c>
      <c r="D16" s="27" t="s">
        <v>105</v>
      </c>
      <c r="E16" s="27" t="s">
        <v>41</v>
      </c>
      <c r="F16" s="28" t="n">
        <v>12</v>
      </c>
      <c r="G16" s="29" t="n">
        <v>396</v>
      </c>
      <c r="H16" s="30" t="str">
        <f aca="false">IFERROR($A16&amp;" / "&amp;IF(AND($F16=1,$D16=$E16),INDEX(Listas!$I$5:$I$25,MATCH($E16,Listas!$H$5:$H$25,0)),INDEX(Listas!$I$5:$I$25,MATCH($E16,Listas!$H$5:$H$25,0))&amp;" X "&amp;TEXT($F16,"0.####")&amp;" "&amp;INDEX(Listas!$I$5:$I$25,MATCH($D16,Listas!$H$5:$H$25,0))),"")</f>
        <v>SOLUCIÓN SALINA 0.9% 1000 ML / CAJA X 12 BOLSA</v>
      </c>
      <c r="I16" s="31" t="n">
        <f aca="false">IF($F16=0,"",$G16/$F16)</f>
        <v>33</v>
      </c>
      <c r="J16" s="27"/>
      <c r="K16" s="27" t="s">
        <v>106</v>
      </c>
      <c r="L16" s="27" t="s">
        <v>107</v>
      </c>
      <c r="M16" s="27" t="s">
        <v>108</v>
      </c>
      <c r="N16" s="27" t="s">
        <v>46</v>
      </c>
      <c r="O16" s="27" t="s">
        <v>46</v>
      </c>
      <c r="P16" s="26" t="s">
        <v>109</v>
      </c>
    </row>
    <row r="17" customFormat="false" ht="15" hidden="false" customHeight="false" outlineLevel="0" collapsed="false">
      <c r="A17" s="26" t="s">
        <v>110</v>
      </c>
      <c r="B17" s="27" t="s">
        <v>38</v>
      </c>
      <c r="C17" s="27" t="s">
        <v>39</v>
      </c>
      <c r="D17" s="27" t="s">
        <v>111</v>
      </c>
      <c r="E17" s="27" t="s">
        <v>41</v>
      </c>
      <c r="F17" s="28" t="n">
        <v>50</v>
      </c>
      <c r="G17" s="29" t="n">
        <v>210</v>
      </c>
      <c r="H17" s="30" t="str">
        <f aca="false">IFERROR($A17&amp;" / "&amp;IF(AND($F17=1,$D17=$E17),INDEX(Listas!$I$5:$I$25,MATCH($E17,Listas!$H$5:$H$25,0)),INDEX(Listas!$I$5:$I$25,MATCH($E17,Listas!$H$5:$H$25,0))&amp;" X "&amp;TEXT($F17,"0.####")&amp;" "&amp;INDEX(Listas!$I$5:$I$25,MATCH($D17,Listas!$H$5:$H$25,0))),"")</f>
        <v>SALES DE REHIDRATACIÓN ORAL / CAJA X 50 SOBRE</v>
      </c>
      <c r="I17" s="31" t="n">
        <f aca="false">IF($F17=0,"",$G17/$F17)</f>
        <v>4.2</v>
      </c>
      <c r="J17" s="27"/>
      <c r="K17" s="27"/>
      <c r="L17" s="27" t="s">
        <v>112</v>
      </c>
      <c r="M17" s="27" t="s">
        <v>113</v>
      </c>
      <c r="N17" s="27" t="s">
        <v>46</v>
      </c>
      <c r="O17" s="27" t="s">
        <v>46</v>
      </c>
      <c r="P17" s="26" t="s">
        <v>114</v>
      </c>
    </row>
    <row r="18" customFormat="false" ht="22.35" hidden="false" customHeight="false" outlineLevel="0" collapsed="false">
      <c r="A18" s="26" t="s">
        <v>115</v>
      </c>
      <c r="B18" s="27" t="s">
        <v>38</v>
      </c>
      <c r="C18" s="27" t="s">
        <v>39</v>
      </c>
      <c r="D18" s="27" t="s">
        <v>111</v>
      </c>
      <c r="E18" s="27" t="s">
        <v>111</v>
      </c>
      <c r="F18" s="28" t="n">
        <v>1</v>
      </c>
      <c r="G18" s="29" t="n">
        <v>42</v>
      </c>
      <c r="H18" s="30" t="str">
        <f aca="false">IFERROR($A18&amp;" / "&amp;IF(AND($F18=1,$D18=$E18),INDEX(Listas!$I$5:$I$25,MATCH($E18,Listas!$H$5:$H$25,0)),INDEX(Listas!$I$5:$I$25,MATCH($E18,Listas!$H$5:$H$25,0))&amp;" X "&amp;TEXT($F18,"0.####")&amp;" "&amp;INDEX(Listas!$I$5:$I$25,MATCH($D18,Listas!$H$5:$H$25,0))),"")</f>
        <v>CARBÓN ACTIVADO POLVO 50 G / SOBRE</v>
      </c>
      <c r="I18" s="31" t="n">
        <f aca="false">IF($F18=0,"",$G18/$F18)</f>
        <v>42</v>
      </c>
      <c r="J18" s="27"/>
      <c r="K18" s="27" t="s">
        <v>116</v>
      </c>
      <c r="L18" s="27"/>
      <c r="M18" s="27" t="s">
        <v>117</v>
      </c>
      <c r="N18" s="27" t="s">
        <v>46</v>
      </c>
      <c r="O18" s="27" t="s">
        <v>46</v>
      </c>
      <c r="P18" s="26" t="s">
        <v>118</v>
      </c>
    </row>
    <row r="19" customFormat="false" ht="15" hidden="false" customHeight="false" outlineLevel="0" collapsed="false">
      <c r="A19" s="26" t="s">
        <v>119</v>
      </c>
      <c r="B19" s="27" t="s">
        <v>38</v>
      </c>
      <c r="C19" s="27" t="s">
        <v>39</v>
      </c>
      <c r="D19" s="27" t="s">
        <v>120</v>
      </c>
      <c r="E19" s="27" t="s">
        <v>66</v>
      </c>
      <c r="F19" s="28" t="n">
        <v>400</v>
      </c>
      <c r="G19" s="29" t="n">
        <v>320</v>
      </c>
      <c r="H19" s="30" t="str">
        <f aca="false">IFERROR($A19&amp;" / "&amp;IF(AND($F19=1,$D19=$E19),INDEX(Listas!$I$5:$I$25,MATCH($E19,Listas!$H$5:$H$25,0)),INDEX(Listas!$I$5:$I$25,MATCH($E19,Listas!$H$5:$H$25,0))&amp;" X "&amp;TEXT($F19,"0.####")&amp;" "&amp;INDEX(Listas!$I$5:$I$25,MATCH($D19,Listas!$H$5:$H$25,0))),"")</f>
        <v>SULFADIAZINA DE PLATA CREMA 1% / FRASCO X 400 G</v>
      </c>
      <c r="I19" s="31" t="n">
        <f aca="false">IF($F19=0,"",$G19/$F19)</f>
        <v>0.8</v>
      </c>
      <c r="J19" s="27"/>
      <c r="K19" s="27" t="s">
        <v>121</v>
      </c>
      <c r="L19" s="27" t="s">
        <v>122</v>
      </c>
      <c r="M19" s="27" t="s">
        <v>123</v>
      </c>
      <c r="N19" s="27" t="s">
        <v>57</v>
      </c>
      <c r="O19" s="27" t="s">
        <v>46</v>
      </c>
      <c r="P19" s="26" t="s">
        <v>124</v>
      </c>
    </row>
    <row r="20" customFormat="false" ht="22.35" hidden="false" customHeight="false" outlineLevel="0" collapsed="false">
      <c r="A20" s="26" t="s">
        <v>125</v>
      </c>
      <c r="B20" s="27" t="s">
        <v>38</v>
      </c>
      <c r="C20" s="27" t="s">
        <v>39</v>
      </c>
      <c r="D20" s="27" t="s">
        <v>126</v>
      </c>
      <c r="E20" s="27" t="s">
        <v>66</v>
      </c>
      <c r="F20" s="28" t="n">
        <v>25000</v>
      </c>
      <c r="G20" s="29" t="n">
        <v>1850</v>
      </c>
      <c r="H20" s="30" t="str">
        <f aca="false">IFERROR($A20&amp;" / "&amp;IF(AND($F20=1,$D20=$E20),INDEX(Listas!$I$5:$I$25,MATCH($E20,Listas!$H$5:$H$25,0)),INDEX(Listas!$I$5:$I$25,MATCH($E20,Listas!$H$5:$H$25,0))&amp;" X "&amp;TEXT($F20,"0.####")&amp;" "&amp;INDEX(Listas!$I$5:$I$25,MATCH($D20,Listas!$H$5:$H$25,0))),"")</f>
        <v>PROGESTERONA MICRONIZADA POLVO / FRASCO X 25000 MG</v>
      </c>
      <c r="I20" s="31" t="n">
        <f aca="false">IF($F20=0,"",$G20/$F20)</f>
        <v>0.074</v>
      </c>
      <c r="J20" s="27"/>
      <c r="K20" s="27" t="s">
        <v>127</v>
      </c>
      <c r="L20" s="27" t="s">
        <v>128</v>
      </c>
      <c r="M20" s="27" t="s">
        <v>129</v>
      </c>
      <c r="N20" s="27" t="s">
        <v>57</v>
      </c>
      <c r="O20" s="27" t="s">
        <v>46</v>
      </c>
      <c r="P20" s="26" t="s">
        <v>130</v>
      </c>
    </row>
    <row r="21" customFormat="false" ht="22.35" hidden="false" customHeight="false" outlineLevel="0" collapsed="false">
      <c r="A21" s="26" t="s">
        <v>131</v>
      </c>
      <c r="B21" s="27" t="s">
        <v>38</v>
      </c>
      <c r="C21" s="27" t="s">
        <v>39</v>
      </c>
      <c r="D21" s="27" t="s">
        <v>132</v>
      </c>
      <c r="E21" s="27" t="s">
        <v>66</v>
      </c>
      <c r="F21" s="28" t="n">
        <v>5000000</v>
      </c>
      <c r="G21" s="29" t="n">
        <v>2400</v>
      </c>
      <c r="H21" s="30" t="str">
        <f aca="false">IFERROR($A21&amp;" / "&amp;IF(AND($F21=1,$D21=$E21),INDEX(Listas!$I$5:$I$25,MATCH($E21,Listas!$H$5:$H$25,0)),INDEX(Listas!$I$5:$I$25,MATCH($E21,Listas!$H$5:$H$25,0))&amp;" X "&amp;TEXT($F21,"0.####")&amp;" "&amp;INDEX(Listas!$I$5:$I$25,MATCH($D21,Listas!$H$5:$H$25,0))),"")</f>
        <v>LEVOTIROXINA SÓDICA POLVO / FRASCO X 5000000 MCG</v>
      </c>
      <c r="I21" s="31" t="n">
        <f aca="false">IF($F21=0,"",$G21/$F21)</f>
        <v>0.00048</v>
      </c>
      <c r="J21" s="27"/>
      <c r="K21" s="27" t="s">
        <v>133</v>
      </c>
      <c r="L21" s="27" t="s">
        <v>134</v>
      </c>
      <c r="M21" s="27" t="s">
        <v>135</v>
      </c>
      <c r="N21" s="27" t="s">
        <v>57</v>
      </c>
      <c r="O21" s="27" t="s">
        <v>46</v>
      </c>
      <c r="P21" s="26" t="s">
        <v>136</v>
      </c>
    </row>
    <row r="22" customFormat="false" ht="22.35" hidden="false" customHeight="false" outlineLevel="0" collapsed="false">
      <c r="A22" s="26" t="s">
        <v>137</v>
      </c>
      <c r="B22" s="27" t="s">
        <v>81</v>
      </c>
      <c r="C22" s="27" t="s">
        <v>138</v>
      </c>
      <c r="D22" s="27" t="s">
        <v>139</v>
      </c>
      <c r="E22" s="27" t="s">
        <v>41</v>
      </c>
      <c r="F22" s="28" t="n">
        <v>100</v>
      </c>
      <c r="G22" s="29" t="n">
        <v>285</v>
      </c>
      <c r="H22" s="30" t="str">
        <f aca="false">IFERROR($A22&amp;" / "&amp;IF(AND($F22=1,$D22=$E22),INDEX(Listas!$I$5:$I$25,MATCH($E22,Listas!$H$5:$H$25,0)),INDEX(Listas!$I$5:$I$25,MATCH($E22,Listas!$H$5:$H$25,0))&amp;" X "&amp;TEXT($F22,"0.####")&amp;" "&amp;INDEX(Listas!$I$5:$I$25,MATCH($D22,Listas!$H$5:$H$25,0))),"")</f>
        <v>GASA ESTÉRIL 10 X 10 CM / CAJA X 100 UND</v>
      </c>
      <c r="I22" s="31" t="n">
        <f aca="false">IF($F22=0,"",$G22/$F22)</f>
        <v>2.85</v>
      </c>
      <c r="J22" s="27"/>
      <c r="K22" s="27"/>
      <c r="L22" s="27"/>
      <c r="M22" s="27"/>
      <c r="N22" s="27" t="s">
        <v>46</v>
      </c>
      <c r="O22" s="27" t="s">
        <v>46</v>
      </c>
      <c r="P22" s="26" t="s">
        <v>140</v>
      </c>
    </row>
    <row r="23" customFormat="false" ht="22.35" hidden="false" customHeight="false" outlineLevel="0" collapsed="false">
      <c r="A23" s="26" t="s">
        <v>141</v>
      </c>
      <c r="B23" s="27" t="s">
        <v>81</v>
      </c>
      <c r="C23" s="27" t="s">
        <v>142</v>
      </c>
      <c r="D23" s="27" t="s">
        <v>139</v>
      </c>
      <c r="E23" s="27" t="s">
        <v>139</v>
      </c>
      <c r="F23" s="28" t="n">
        <v>1</v>
      </c>
      <c r="G23" s="29" t="n">
        <v>48</v>
      </c>
      <c r="H23" s="30" t="str">
        <f aca="false">IFERROR($A23&amp;" / "&amp;IF(AND($F23=1,$D23=$E23),INDEX(Listas!$I$5:$I$25,MATCH($E23,Listas!$H$5:$H$25,0)),INDEX(Listas!$I$5:$I$25,MATCH($E23,Listas!$H$5:$H$25,0))&amp;" X "&amp;TEXT($F23,"0.####")&amp;" "&amp;INDEX(Listas!$I$5:$I$25,MATCH($D23,Listas!$H$5:$H$25,0))),"")</f>
        <v>SONDA FOLEY N.º 16 / UND</v>
      </c>
      <c r="I23" s="31" t="n">
        <f aca="false">IF($F23=0,"",$G23/$F23)</f>
        <v>48</v>
      </c>
      <c r="J23" s="27"/>
      <c r="K23" s="27"/>
      <c r="L23" s="27"/>
      <c r="M23" s="27"/>
      <c r="N23" s="27" t="s">
        <v>46</v>
      </c>
      <c r="O23" s="27" t="s">
        <v>46</v>
      </c>
      <c r="P23" s="26" t="s">
        <v>143</v>
      </c>
    </row>
    <row r="24" customFormat="false" ht="22.35" hidden="false" customHeight="false" outlineLevel="0" collapsed="false">
      <c r="A24" s="26" t="s">
        <v>144</v>
      </c>
      <c r="B24" s="27" t="s">
        <v>81</v>
      </c>
      <c r="C24" s="27" t="s">
        <v>138</v>
      </c>
      <c r="D24" s="27" t="s">
        <v>139</v>
      </c>
      <c r="E24" s="27" t="s">
        <v>105</v>
      </c>
      <c r="F24" s="28" t="n">
        <v>12</v>
      </c>
      <c r="G24" s="29" t="n">
        <v>156</v>
      </c>
      <c r="H24" s="30" t="str">
        <f aca="false">IFERROR($A24&amp;" / "&amp;IF(AND($F24=1,$D24=$E24),INDEX(Listas!$I$5:$I$25,MATCH($E24,Listas!$H$5:$H$25,0)),INDEX(Listas!$I$5:$I$25,MATCH($E24,Listas!$H$5:$H$25,0))&amp;" X "&amp;TEXT($F24,"0.####")&amp;" "&amp;INDEX(Listas!$I$5:$I$25,MATCH($D24,Listas!$H$5:$H$25,0))),"")</f>
        <v>VENDA ELÁSTICA 4 PULGADAS / BOLSA X 12 UND</v>
      </c>
      <c r="I24" s="31" t="n">
        <f aca="false">IF($F24=0,"",$G24/$F24)</f>
        <v>13</v>
      </c>
      <c r="J24" s="27"/>
      <c r="K24" s="27"/>
      <c r="L24" s="27"/>
      <c r="M24" s="27"/>
      <c r="N24" s="27" t="s">
        <v>46</v>
      </c>
      <c r="O24" s="27" t="s">
        <v>46</v>
      </c>
      <c r="P24" s="26" t="s">
        <v>145</v>
      </c>
    </row>
    <row r="25" customFormat="false" ht="22.35" hidden="false" customHeight="false" outlineLevel="0" collapsed="false">
      <c r="A25" s="26" t="s">
        <v>146</v>
      </c>
      <c r="B25" s="27" t="s">
        <v>81</v>
      </c>
      <c r="C25" s="27" t="s">
        <v>142</v>
      </c>
      <c r="D25" s="27" t="s">
        <v>139</v>
      </c>
      <c r="E25" s="27" t="s">
        <v>41</v>
      </c>
      <c r="F25" s="28" t="n">
        <v>100</v>
      </c>
      <c r="G25" s="29" t="n">
        <v>320</v>
      </c>
      <c r="H25" s="30" t="str">
        <f aca="false">IFERROR($A25&amp;" / "&amp;IF(AND($F25=1,$D25=$E25),INDEX(Listas!$I$5:$I$25,MATCH($E25,Listas!$H$5:$H$25,0)),INDEX(Listas!$I$5:$I$25,MATCH($E25,Listas!$H$5:$H$25,0))&amp;" X "&amp;TEXT($F25,"0.####")&amp;" "&amp;INDEX(Listas!$I$5:$I$25,MATCH($D25,Listas!$H$5:$H$25,0))),"")</f>
        <v>JERINGA DESCARTABLE 5 ML CON AGUJA / CAJA X 100 UND</v>
      </c>
      <c r="I25" s="31" t="n">
        <f aca="false">IF($F25=0,"",$G25/$F25)</f>
        <v>3.2</v>
      </c>
      <c r="J25" s="27"/>
      <c r="K25" s="27"/>
      <c r="L25" s="27"/>
      <c r="M25" s="27"/>
      <c r="N25" s="27" t="s">
        <v>46</v>
      </c>
      <c r="O25" s="27" t="s">
        <v>46</v>
      </c>
      <c r="P25" s="26" t="s">
        <v>147</v>
      </c>
    </row>
    <row r="26" customFormat="false" ht="22.35" hidden="false" customHeight="false" outlineLevel="0" collapsed="false">
      <c r="A26" s="26" t="s">
        <v>148</v>
      </c>
      <c r="B26" s="27" t="s">
        <v>81</v>
      </c>
      <c r="C26" s="27" t="s">
        <v>142</v>
      </c>
      <c r="D26" s="27" t="s">
        <v>149</v>
      </c>
      <c r="E26" s="27" t="s">
        <v>41</v>
      </c>
      <c r="F26" s="28" t="n">
        <v>50</v>
      </c>
      <c r="G26" s="29" t="n">
        <v>210</v>
      </c>
      <c r="H26" s="30" t="str">
        <f aca="false">IFERROR($A26&amp;" / "&amp;IF(AND($F26=1,$D26=$E26),INDEX(Listas!$I$5:$I$25,MATCH($E26,Listas!$H$5:$H$25,0)),INDEX(Listas!$I$5:$I$25,MATCH($E26,Listas!$H$5:$H$25,0))&amp;" X "&amp;TEXT($F26,"0.####")&amp;" "&amp;INDEX(Listas!$I$5:$I$25,MATCH($D26,Listas!$H$5:$H$25,0))),"")</f>
        <v>GUANTE DE EXAMEN LÁTEX TALLA M / CAJA X 50 PAR</v>
      </c>
      <c r="I26" s="31" t="n">
        <f aca="false">IF($F26=0,"",$G26/$F26)</f>
        <v>4.2</v>
      </c>
      <c r="J26" s="27"/>
      <c r="K26" s="27"/>
      <c r="L26" s="27"/>
      <c r="M26" s="27"/>
      <c r="N26" s="27" t="s">
        <v>46</v>
      </c>
      <c r="O26" s="27" t="s">
        <v>46</v>
      </c>
      <c r="P26" s="26" t="s">
        <v>150</v>
      </c>
    </row>
    <row r="27" customFormat="false" ht="22.35" hidden="false" customHeight="false" outlineLevel="0" collapsed="false">
      <c r="A27" s="26" t="s">
        <v>151</v>
      </c>
      <c r="B27" s="27" t="s">
        <v>81</v>
      </c>
      <c r="C27" s="27" t="s">
        <v>142</v>
      </c>
      <c r="D27" s="27" t="s">
        <v>149</v>
      </c>
      <c r="E27" s="27" t="s">
        <v>149</v>
      </c>
      <c r="F27" s="28" t="n">
        <v>1</v>
      </c>
      <c r="G27" s="29" t="n">
        <v>18</v>
      </c>
      <c r="H27" s="30" t="str">
        <f aca="false">IFERROR($A27&amp;" / "&amp;IF(AND($F27=1,$D27=$E27),INDEX(Listas!$I$5:$I$25,MATCH($E27,Listas!$H$5:$H$25,0)),INDEX(Listas!$I$5:$I$25,MATCH($E27,Listas!$H$5:$H$25,0))&amp;" X "&amp;TEXT($F27,"0.####")&amp;" "&amp;INDEX(Listas!$I$5:$I$25,MATCH($D27,Listas!$H$5:$H$25,0))),"")</f>
        <v>GUANTE QUIRÚRGICO ESTÉRIL TALLA 7.5 / PAR</v>
      </c>
      <c r="I27" s="31" t="n">
        <f aca="false">IF($F27=0,"",$G27/$F27)</f>
        <v>18</v>
      </c>
      <c r="J27" s="27"/>
      <c r="K27" s="27"/>
      <c r="L27" s="27"/>
      <c r="M27" s="27"/>
      <c r="N27" s="27" t="s">
        <v>46</v>
      </c>
      <c r="O27" s="27" t="s">
        <v>46</v>
      </c>
      <c r="P27" s="26" t="s">
        <v>152</v>
      </c>
    </row>
    <row r="28" customFormat="false" ht="22.35" hidden="false" customHeight="false" outlineLevel="0" collapsed="false">
      <c r="A28" s="26" t="s">
        <v>153</v>
      </c>
      <c r="B28" s="27" t="s">
        <v>81</v>
      </c>
      <c r="C28" s="27" t="s">
        <v>142</v>
      </c>
      <c r="D28" s="27" t="s">
        <v>154</v>
      </c>
      <c r="E28" s="27" t="s">
        <v>154</v>
      </c>
      <c r="F28" s="28" t="n">
        <v>1</v>
      </c>
      <c r="G28" s="29" t="n">
        <v>27</v>
      </c>
      <c r="H28" s="30" t="str">
        <f aca="false">IFERROR($A28&amp;" / "&amp;IF(AND($F28=1,$D28=$E28),INDEX(Listas!$I$5:$I$25,MATCH($E28,Listas!$H$5:$H$25,0)),INDEX(Listas!$I$5:$I$25,MATCH($E28,Listas!$H$5:$H$25,0))&amp;" X "&amp;TEXT($F28,"0.####")&amp;" "&amp;INDEX(Listas!$I$5:$I$25,MATCH($D28,Listas!$H$5:$H$25,0))),"")</f>
        <v>EQUIPO DE VENOCLISIS MACROGOTERO / KIT</v>
      </c>
      <c r="I28" s="31" t="n">
        <f aca="false">IF($F28=0,"",$G28/$F28)</f>
        <v>27</v>
      </c>
      <c r="J28" s="27"/>
      <c r="K28" s="27"/>
      <c r="L28" s="27"/>
      <c r="M28" s="27"/>
      <c r="N28" s="27" t="s">
        <v>46</v>
      </c>
      <c r="O28" s="27" t="s">
        <v>46</v>
      </c>
      <c r="P28" s="26" t="s">
        <v>155</v>
      </c>
    </row>
    <row r="29" customFormat="false" ht="22.35" hidden="false" customHeight="false" outlineLevel="0" collapsed="false">
      <c r="A29" s="26" t="s">
        <v>156</v>
      </c>
      <c r="B29" s="27" t="s">
        <v>81</v>
      </c>
      <c r="C29" s="27" t="s">
        <v>138</v>
      </c>
      <c r="D29" s="27" t="s">
        <v>157</v>
      </c>
      <c r="E29" s="27" t="s">
        <v>139</v>
      </c>
      <c r="F29" s="28" t="n">
        <v>500</v>
      </c>
      <c r="G29" s="29" t="n">
        <v>22</v>
      </c>
      <c r="H29" s="30" t="str">
        <f aca="false">IFERROR($A29&amp;" / "&amp;IF(AND($F29=1,$D29=$E29),INDEX(Listas!$I$5:$I$25,MATCH($E29,Listas!$H$5:$H$25,0)),INDEX(Listas!$I$5:$I$25,MATCH($E29,Listas!$H$5:$H$25,0))&amp;" X "&amp;TEXT($F29,"0.####")&amp;" "&amp;INDEX(Listas!$I$5:$I$25,MATCH($D29,Listas!$H$5:$H$25,0))),"")</f>
        <v>VENDA DE GASA EN ROLLO 10 CM X 5 M / UND X 500 CM</v>
      </c>
      <c r="I29" s="31" t="n">
        <f aca="false">IF($F29=0,"",$G29/$F29)</f>
        <v>0.044</v>
      </c>
      <c r="J29" s="27"/>
      <c r="K29" s="27"/>
      <c r="L29" s="27"/>
      <c r="M29" s="27"/>
      <c r="N29" s="27" t="s">
        <v>46</v>
      </c>
      <c r="O29" s="27" t="s">
        <v>46</v>
      </c>
      <c r="P29" s="26" t="s">
        <v>158</v>
      </c>
    </row>
    <row r="30" customFormat="false" ht="22.35" hidden="false" customHeight="false" outlineLevel="0" collapsed="false">
      <c r="A30" s="26" t="s">
        <v>159</v>
      </c>
      <c r="B30" s="27" t="s">
        <v>81</v>
      </c>
      <c r="C30" s="27" t="s">
        <v>82</v>
      </c>
      <c r="D30" s="27" t="s">
        <v>160</v>
      </c>
      <c r="E30" s="27" t="s">
        <v>139</v>
      </c>
      <c r="F30" s="28" t="n">
        <v>25</v>
      </c>
      <c r="G30" s="29" t="n">
        <v>890</v>
      </c>
      <c r="H30" s="30" t="str">
        <f aca="false">IFERROR($A30&amp;" / "&amp;IF(AND($F30=1,$D30=$E30),INDEX(Listas!$I$5:$I$25,MATCH($E30,Listas!$H$5:$H$25,0)),INDEX(Listas!$I$5:$I$25,MATCH($E30,Listas!$H$5:$H$25,0))&amp;" X "&amp;TEXT($F30,"0.####")&amp;" "&amp;INDEX(Listas!$I$5:$I$25,MATCH($D30,Listas!$H$5:$H$25,0))),"")</f>
        <v>TUBULADURA DE SILICONA GRADO MÉDICO / UND X 25 METRO</v>
      </c>
      <c r="I30" s="31" t="n">
        <f aca="false">IF($F30=0,"",$G30/$F30)</f>
        <v>35.6</v>
      </c>
      <c r="J30" s="27"/>
      <c r="K30" s="27"/>
      <c r="L30" s="27"/>
      <c r="M30" s="27"/>
      <c r="N30" s="27" t="s">
        <v>46</v>
      </c>
      <c r="O30" s="27" t="s">
        <v>46</v>
      </c>
      <c r="P30" s="26" t="s">
        <v>161</v>
      </c>
    </row>
    <row r="31" customFormat="false" ht="22.35" hidden="false" customHeight="false" outlineLevel="0" collapsed="false">
      <c r="A31" s="26" t="s">
        <v>162</v>
      </c>
      <c r="B31" s="27" t="s">
        <v>81</v>
      </c>
      <c r="C31" s="27" t="s">
        <v>82</v>
      </c>
      <c r="D31" s="27" t="s">
        <v>66</v>
      </c>
      <c r="E31" s="27" t="s">
        <v>66</v>
      </c>
      <c r="F31" s="28" t="n">
        <v>1</v>
      </c>
      <c r="G31" s="29" t="n">
        <v>78</v>
      </c>
      <c r="H31" s="30" t="str">
        <f aca="false">IFERROR($A31&amp;" / "&amp;IF(AND($F31=1,$D31=$E31),INDEX(Listas!$I$5:$I$25,MATCH($E31,Listas!$H$5:$H$25,0)),INDEX(Listas!$I$5:$I$25,MATCH($E31,Listas!$H$5:$H$25,0))&amp;" X "&amp;TEXT($F31,"0.####")&amp;" "&amp;INDEX(Listas!$I$5:$I$25,MATCH($D31,Listas!$H$5:$H$25,0))),"")</f>
        <v>ALCOHOL ETÍLICO 70% 1 LITRO / FRASCO</v>
      </c>
      <c r="I31" s="31" t="n">
        <f aca="false">IF($F31=0,"",$G31/$F31)</f>
        <v>78</v>
      </c>
      <c r="J31" s="27"/>
      <c r="K31" s="27"/>
      <c r="L31" s="27"/>
      <c r="M31" s="27"/>
      <c r="N31" s="27" t="s">
        <v>46</v>
      </c>
      <c r="O31" s="27" t="s">
        <v>46</v>
      </c>
      <c r="P31" s="26" t="s">
        <v>163</v>
      </c>
    </row>
    <row r="32" customFormat="false" ht="22.35" hidden="false" customHeight="false" outlineLevel="0" collapsed="false">
      <c r="A32" s="26" t="s">
        <v>164</v>
      </c>
      <c r="B32" s="27" t="s">
        <v>81</v>
      </c>
      <c r="C32" s="27" t="s">
        <v>142</v>
      </c>
      <c r="D32" s="27" t="s">
        <v>41</v>
      </c>
      <c r="E32" s="27" t="s">
        <v>41</v>
      </c>
      <c r="F32" s="28" t="n">
        <v>1</v>
      </c>
      <c r="G32" s="29" t="n">
        <v>480</v>
      </c>
      <c r="H32" s="30" t="str">
        <f aca="false">IFERROR($A32&amp;" / "&amp;IF(AND($F32=1,$D32=$E32),INDEX(Listas!$I$5:$I$25,MATCH($E32,Listas!$H$5:$H$25,0)),INDEX(Listas!$I$5:$I$25,MATCH($E32,Listas!$H$5:$H$25,0))&amp;" X "&amp;TEXT($F32,"0.####")&amp;" "&amp;INDEX(Listas!$I$5:$I$25,MATCH($D32,Listas!$H$5:$H$25,0))),"")</f>
        <v>TIRAS REACTIVAS DE GLUCOMETRÍA X 50 / CAJA</v>
      </c>
      <c r="I32" s="31" t="n">
        <f aca="false">IF($F32=0,"",$G32/$F32)</f>
        <v>480</v>
      </c>
      <c r="J32" s="27"/>
      <c r="K32" s="27"/>
      <c r="L32" s="27"/>
      <c r="M32" s="27"/>
      <c r="N32" s="27" t="s">
        <v>46</v>
      </c>
      <c r="O32" s="27" t="s">
        <v>46</v>
      </c>
      <c r="P32" s="26" t="s">
        <v>165</v>
      </c>
    </row>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CA0"/>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4" min="4" style="0" width="26"/>
    <col collapsed="false" customWidth="true" hidden="false" outlineLevel="0" max="5" min="5" style="0" width="9"/>
    <col collapsed="false" customWidth="true" hidden="false" outlineLevel="0" max="6" min="6" style="0" width="56"/>
    <col collapsed="false" customWidth="true" hidden="false" outlineLevel="0" max="8" min="8" style="0" width="24"/>
    <col collapsed="false" customWidth="true" hidden="false" outlineLevel="0" max="9" min="9" style="0" width="9"/>
    <col collapsed="false" customWidth="true" hidden="false" outlineLevel="0" max="10" min="10" style="0" width="11"/>
    <col collapsed="false" customWidth="true" hidden="false" outlineLevel="0" max="11" min="11" style="0" width="66"/>
    <col collapsed="false" customWidth="true" hidden="false" outlineLevel="0" max="13" min="13" style="0" width="10"/>
  </cols>
  <sheetData>
    <row r="1" customFormat="false" ht="15" hidden="false" customHeight="false" outlineLevel="0" collapsed="false">
      <c r="A1" s="32" t="s">
        <v>166</v>
      </c>
    </row>
    <row r="2" customFormat="false" ht="15" hidden="false" customHeight="false" outlineLevel="0" collapsed="false">
      <c r="A2" s="33" t="s">
        <v>167</v>
      </c>
    </row>
    <row r="4" customFormat="false" ht="15" hidden="false" customHeight="false" outlineLevel="0" collapsed="false">
      <c r="A4" s="34" t="s">
        <v>168</v>
      </c>
      <c r="B4" s="34" t="s">
        <v>169</v>
      </c>
      <c r="D4" s="34" t="s">
        <v>170</v>
      </c>
      <c r="E4" s="34" t="s">
        <v>171</v>
      </c>
      <c r="F4" s="34" t="s">
        <v>169</v>
      </c>
      <c r="H4" s="34" t="s">
        <v>139</v>
      </c>
      <c r="I4" s="34" t="s">
        <v>171</v>
      </c>
      <c r="J4" s="34" t="s">
        <v>172</v>
      </c>
      <c r="K4" s="34" t="s">
        <v>173</v>
      </c>
      <c r="M4" s="34" t="s">
        <v>174</v>
      </c>
    </row>
    <row r="5" customFormat="false" ht="22.35" hidden="false" customHeight="false" outlineLevel="0" collapsed="false">
      <c r="A5" s="35" t="s">
        <v>38</v>
      </c>
      <c r="B5" s="35" t="s">
        <v>175</v>
      </c>
      <c r="D5" s="35" t="s">
        <v>39</v>
      </c>
      <c r="E5" s="35" t="s">
        <v>176</v>
      </c>
      <c r="F5" s="35" t="s">
        <v>177</v>
      </c>
      <c r="H5" s="35" t="s">
        <v>139</v>
      </c>
      <c r="I5" s="35" t="s">
        <v>178</v>
      </c>
      <c r="J5" s="35" t="s">
        <v>179</v>
      </c>
      <c r="K5" s="35" t="s">
        <v>180</v>
      </c>
      <c r="M5" s="35" t="s">
        <v>57</v>
      </c>
    </row>
    <row r="6" customFormat="false" ht="15" hidden="false" customHeight="false" outlineLevel="0" collapsed="false">
      <c r="A6" s="35" t="s">
        <v>81</v>
      </c>
      <c r="B6" s="35" t="s">
        <v>181</v>
      </c>
      <c r="D6" s="35" t="s">
        <v>138</v>
      </c>
      <c r="E6" s="35" t="s">
        <v>182</v>
      </c>
      <c r="F6" s="35" t="s">
        <v>183</v>
      </c>
      <c r="H6" s="35" t="s">
        <v>40</v>
      </c>
      <c r="I6" s="35" t="s">
        <v>184</v>
      </c>
      <c r="J6" s="35" t="s">
        <v>179</v>
      </c>
      <c r="K6" s="35" t="s">
        <v>185</v>
      </c>
      <c r="M6" s="35" t="s">
        <v>46</v>
      </c>
    </row>
    <row r="7" customFormat="false" ht="22.35" hidden="false" customHeight="false" outlineLevel="0" collapsed="false">
      <c r="A7" s="35" t="s">
        <v>186</v>
      </c>
      <c r="B7" s="35" t="s">
        <v>187</v>
      </c>
      <c r="D7" s="35" t="s">
        <v>142</v>
      </c>
      <c r="E7" s="35" t="s">
        <v>188</v>
      </c>
      <c r="F7" s="35" t="s">
        <v>189</v>
      </c>
      <c r="H7" s="35" t="s">
        <v>53</v>
      </c>
      <c r="I7" s="35" t="s">
        <v>190</v>
      </c>
      <c r="J7" s="35" t="s">
        <v>179</v>
      </c>
      <c r="K7" s="35" t="s">
        <v>191</v>
      </c>
    </row>
    <row r="8" customFormat="false" ht="15" hidden="false" customHeight="false" outlineLevel="0" collapsed="false">
      <c r="D8" s="35" t="s">
        <v>76</v>
      </c>
      <c r="E8" s="35" t="s">
        <v>192</v>
      </c>
      <c r="F8" s="35" t="s">
        <v>193</v>
      </c>
      <c r="H8" s="35" t="s">
        <v>77</v>
      </c>
      <c r="I8" s="35" t="s">
        <v>194</v>
      </c>
      <c r="J8" s="35" t="s">
        <v>179</v>
      </c>
      <c r="K8" s="35" t="s">
        <v>195</v>
      </c>
    </row>
    <row r="9" customFormat="false" ht="15" hidden="false" customHeight="false" outlineLevel="0" collapsed="false">
      <c r="D9" s="35" t="s">
        <v>82</v>
      </c>
      <c r="E9" s="35" t="s">
        <v>196</v>
      </c>
      <c r="F9" s="35" t="s">
        <v>197</v>
      </c>
      <c r="H9" s="35" t="s">
        <v>93</v>
      </c>
      <c r="I9" s="35" t="s">
        <v>93</v>
      </c>
      <c r="J9" s="35" t="s">
        <v>179</v>
      </c>
      <c r="K9" s="35" t="s">
        <v>198</v>
      </c>
    </row>
    <row r="10" customFormat="false" ht="15" hidden="false" customHeight="false" outlineLevel="0" collapsed="false">
      <c r="H10" s="35" t="s">
        <v>66</v>
      </c>
      <c r="I10" s="35" t="s">
        <v>66</v>
      </c>
      <c r="J10" s="35" t="s">
        <v>179</v>
      </c>
      <c r="K10" s="35" t="s">
        <v>199</v>
      </c>
    </row>
    <row r="11" customFormat="false" ht="15" hidden="false" customHeight="false" outlineLevel="0" collapsed="false">
      <c r="H11" s="35" t="s">
        <v>111</v>
      </c>
      <c r="I11" s="35" t="s">
        <v>111</v>
      </c>
      <c r="J11" s="35" t="s">
        <v>179</v>
      </c>
      <c r="K11" s="35" t="s">
        <v>200</v>
      </c>
    </row>
    <row r="12" customFormat="false" ht="15" hidden="false" customHeight="false" outlineLevel="0" collapsed="false">
      <c r="H12" s="35" t="s">
        <v>41</v>
      </c>
      <c r="I12" s="35" t="s">
        <v>41</v>
      </c>
      <c r="J12" s="35" t="s">
        <v>179</v>
      </c>
      <c r="K12" s="35" t="s">
        <v>201</v>
      </c>
    </row>
    <row r="13" customFormat="false" ht="15" hidden="false" customHeight="false" outlineLevel="0" collapsed="false">
      <c r="H13" s="35" t="s">
        <v>50</v>
      </c>
      <c r="I13" s="35" t="s">
        <v>202</v>
      </c>
      <c r="J13" s="35" t="s">
        <v>179</v>
      </c>
      <c r="K13" s="35" t="s">
        <v>203</v>
      </c>
    </row>
    <row r="14" customFormat="false" ht="15" hidden="false" customHeight="false" outlineLevel="0" collapsed="false">
      <c r="H14" s="35" t="s">
        <v>149</v>
      </c>
      <c r="I14" s="35" t="s">
        <v>149</v>
      </c>
      <c r="J14" s="35" t="s">
        <v>179</v>
      </c>
      <c r="K14" s="35" t="s">
        <v>204</v>
      </c>
    </row>
    <row r="15" customFormat="false" ht="15" hidden="false" customHeight="false" outlineLevel="0" collapsed="false">
      <c r="H15" s="35" t="s">
        <v>154</v>
      </c>
      <c r="I15" s="35" t="s">
        <v>154</v>
      </c>
      <c r="J15" s="35" t="s">
        <v>179</v>
      </c>
      <c r="K15" s="35" t="s">
        <v>205</v>
      </c>
    </row>
    <row r="16" customFormat="false" ht="15" hidden="false" customHeight="false" outlineLevel="0" collapsed="false">
      <c r="H16" s="35" t="s">
        <v>105</v>
      </c>
      <c r="I16" s="35" t="s">
        <v>105</v>
      </c>
      <c r="J16" s="35" t="s">
        <v>179</v>
      </c>
      <c r="K16" s="35" t="s">
        <v>206</v>
      </c>
    </row>
    <row r="17" customFormat="false" ht="15" hidden="false" customHeight="false" outlineLevel="0" collapsed="false">
      <c r="H17" s="35" t="s">
        <v>65</v>
      </c>
      <c r="I17" s="35" t="s">
        <v>207</v>
      </c>
      <c r="J17" s="35" t="s">
        <v>208</v>
      </c>
      <c r="K17" s="35" t="s">
        <v>209</v>
      </c>
    </row>
    <row r="18" customFormat="false" ht="15" hidden="false" customHeight="false" outlineLevel="0" collapsed="false">
      <c r="H18" s="35" t="s">
        <v>70</v>
      </c>
      <c r="I18" s="35" t="s">
        <v>210</v>
      </c>
      <c r="J18" s="35" t="s">
        <v>208</v>
      </c>
      <c r="K18" s="35" t="s">
        <v>211</v>
      </c>
    </row>
    <row r="19" customFormat="false" ht="15" hidden="false" customHeight="false" outlineLevel="0" collapsed="false">
      <c r="H19" s="35" t="s">
        <v>83</v>
      </c>
      <c r="I19" s="35" t="s">
        <v>212</v>
      </c>
      <c r="J19" s="35" t="s">
        <v>208</v>
      </c>
      <c r="K19" s="35" t="s">
        <v>213</v>
      </c>
    </row>
    <row r="20" customFormat="false" ht="15" hidden="false" customHeight="false" outlineLevel="0" collapsed="false">
      <c r="H20" s="35" t="s">
        <v>126</v>
      </c>
      <c r="I20" s="35" t="s">
        <v>214</v>
      </c>
      <c r="J20" s="35" t="s">
        <v>215</v>
      </c>
      <c r="K20" s="35" t="s">
        <v>216</v>
      </c>
    </row>
    <row r="21" customFormat="false" ht="15" hidden="false" customHeight="false" outlineLevel="0" collapsed="false">
      <c r="H21" s="35" t="s">
        <v>120</v>
      </c>
      <c r="I21" s="35" t="s">
        <v>217</v>
      </c>
      <c r="J21" s="35" t="s">
        <v>215</v>
      </c>
      <c r="K21" s="35" t="s">
        <v>218</v>
      </c>
    </row>
    <row r="22" customFormat="false" ht="15" hidden="false" customHeight="false" outlineLevel="0" collapsed="false">
      <c r="H22" s="35" t="s">
        <v>132</v>
      </c>
      <c r="I22" s="35" t="s">
        <v>219</v>
      </c>
      <c r="J22" s="35" t="s">
        <v>215</v>
      </c>
      <c r="K22" s="35" t="s">
        <v>220</v>
      </c>
    </row>
    <row r="23" customFormat="false" ht="15" hidden="false" customHeight="false" outlineLevel="0" collapsed="false">
      <c r="H23" s="35" t="s">
        <v>99</v>
      </c>
      <c r="I23" s="35" t="s">
        <v>221</v>
      </c>
      <c r="J23" s="35" t="s">
        <v>215</v>
      </c>
      <c r="K23" s="35" t="s">
        <v>222</v>
      </c>
    </row>
    <row r="24" customFormat="false" ht="15" hidden="false" customHeight="false" outlineLevel="0" collapsed="false">
      <c r="H24" s="35" t="s">
        <v>157</v>
      </c>
      <c r="I24" s="35" t="s">
        <v>223</v>
      </c>
      <c r="J24" s="35" t="s">
        <v>224</v>
      </c>
      <c r="K24" s="35" t="s">
        <v>225</v>
      </c>
    </row>
    <row r="25" customFormat="false" ht="15" hidden="false" customHeight="false" outlineLevel="0" collapsed="false">
      <c r="H25" s="35" t="s">
        <v>160</v>
      </c>
      <c r="I25" s="35" t="s">
        <v>160</v>
      </c>
      <c r="J25" s="35" t="s">
        <v>224</v>
      </c>
      <c r="K25" s="35"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2026-08-24T19:20:04Z</dcterms:created>
  <dc:creator>openpyxl</dc:creator>
  <dc:description/>
  <dc:language>en-US</dc:language>
  <cp:lastModifiedBy/>
  <dcterms:modified xsi:type="dcterms:W3CDTF">2026-08-24T19:20:04Z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